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6"/>
  <workbookPr/>
  <mc:AlternateContent xmlns:mc="http://schemas.openxmlformats.org/markup-compatibility/2006">
    <mc:Choice Requires="x15">
      <x15ac:absPath xmlns:x15ac="http://schemas.microsoft.com/office/spreadsheetml/2010/11/ac" url="D:\DAW\asignaturas\BI\EXCEL\Evaluacion2\noviembre\Martes 26 noviembre\"/>
    </mc:Choice>
  </mc:AlternateContent>
  <xr:revisionPtr revIDLastSave="0" documentId="13_ncr:1_{0D6A002D-824D-420E-962E-71BBA891B3B8}" xr6:coauthVersionLast="36" xr6:coauthVersionMax="36" xr10:uidLastSave="{00000000-0000-0000-0000-000000000000}"/>
  <bookViews>
    <workbookView xWindow="0" yWindow="0" windowWidth="28800" windowHeight="12090" activeTab="3" xr2:uid="{C1A1F3CA-DEB3-4116-98D3-6D6318BE211A}"/>
  </bookViews>
  <sheets>
    <sheet name="Menú" sheetId="2" r:id="rId1"/>
    <sheet name="buscarV" sheetId="1" r:id="rId2"/>
    <sheet name="ejercicio 1" sheetId="5" r:id="rId3"/>
    <sheet name="gráficos" sheetId="6" r:id="rId4"/>
  </sheets>
  <definedNames>
    <definedName name="_xlcn.WorksheetConnection_gráficosC7F101" hidden="1">gráficos!$C$7:$F$10</definedName>
  </definedNames>
  <calcPr calcId="191029"/>
  <pivotCaches>
    <pivotCache cacheId="23" r:id="rId5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Rango" name="Rango" connection="WorksheetConnection_gráficos!$C$7:$F$10"/>
        </x15:modelTables>
      </x15:dataModel>
    </ext>
  </extLst>
</workbook>
</file>

<file path=xl/calcChain.xml><?xml version="1.0" encoding="utf-8"?>
<calcChain xmlns="http://schemas.openxmlformats.org/spreadsheetml/2006/main">
  <c r="B15" i="5" l="1"/>
  <c r="C15" i="5"/>
  <c r="D15" i="5"/>
  <c r="E15" i="5"/>
  <c r="F15" i="5"/>
  <c r="B16" i="5"/>
  <c r="C16" i="5"/>
  <c r="D16" i="5"/>
  <c r="E16" i="5"/>
  <c r="F16" i="5"/>
  <c r="B17" i="5"/>
  <c r="C17" i="5"/>
  <c r="D17" i="5"/>
  <c r="E17" i="5"/>
  <c r="F17" i="5"/>
  <c r="B18" i="5"/>
  <c r="C18" i="5"/>
  <c r="D18" i="5"/>
  <c r="E18" i="5"/>
  <c r="F18" i="5"/>
  <c r="B19" i="5"/>
  <c r="C19" i="5"/>
  <c r="D19" i="5"/>
  <c r="E19" i="5"/>
  <c r="F19" i="5"/>
  <c r="F9" i="1" l="1"/>
  <c r="F10" i="1"/>
  <c r="F11" i="1"/>
  <c r="F12" i="1"/>
  <c r="F13" i="1"/>
  <c r="F14" i="1"/>
  <c r="F15" i="1"/>
  <c r="F8" i="1"/>
  <c r="D9" i="1"/>
  <c r="E9" i="1" s="1"/>
  <c r="D10" i="1"/>
  <c r="E10" i="1" s="1"/>
  <c r="D11" i="1"/>
  <c r="E11" i="1" s="1"/>
  <c r="D12" i="1"/>
  <c r="E12" i="1" s="1"/>
  <c r="D13" i="1"/>
  <c r="E13" i="1" s="1"/>
  <c r="D14" i="1"/>
  <c r="E14" i="1" s="1"/>
  <c r="D15" i="1"/>
  <c r="E15" i="1" s="1"/>
  <c r="D8" i="1"/>
  <c r="E8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718ED53-1A30-44D0-AAC2-9365970E7920}" keepAlive="1" name="ThisWorkbookDataModel" description="Modelo de datos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B0337C34-1792-4189-8DCC-91D2324904B3}" name="WorksheetConnection_gráficos!$C$7:$F$10" type="102" refreshedVersion="6" minRefreshableVersion="5">
    <extLst>
      <ext xmlns:x15="http://schemas.microsoft.com/office/spreadsheetml/2010/11/main" uri="{DE250136-89BD-433C-8126-D09CA5730AF9}">
        <x15:connection id="Rango" autoDelete="1">
          <x15:rangePr sourceName="_xlcn.WorksheetConnection_gráficosC7F101"/>
        </x15:connection>
      </ext>
    </extLst>
  </connection>
</connections>
</file>

<file path=xl/sharedStrings.xml><?xml version="1.0" encoding="utf-8"?>
<sst xmlns="http://schemas.openxmlformats.org/spreadsheetml/2006/main" count="72" uniqueCount="53">
  <si>
    <t>1) ejemplo 1</t>
  </si>
  <si>
    <t>EMPLEADOS</t>
  </si>
  <si>
    <t>CODIGO</t>
  </si>
  <si>
    <t>DIA LIBRE</t>
  </si>
  <si>
    <t>PLUS</t>
  </si>
  <si>
    <t>JUAN</t>
  </si>
  <si>
    <t>A</t>
  </si>
  <si>
    <t>SONIA</t>
  </si>
  <si>
    <t>TOMÁS</t>
  </si>
  <si>
    <t>LIA</t>
  </si>
  <si>
    <t>TEO</t>
  </si>
  <si>
    <t>JOSÉ</t>
  </si>
  <si>
    <t>ELBA</t>
  </si>
  <si>
    <t>C</t>
  </si>
  <si>
    <t>B</t>
  </si>
  <si>
    <t>MATRIZ</t>
  </si>
  <si>
    <t>VIERNES</t>
  </si>
  <si>
    <t>SABADOS</t>
  </si>
  <si>
    <t>DOMINGOS</t>
  </si>
  <si>
    <t>PAIS</t>
  </si>
  <si>
    <t>ESP</t>
  </si>
  <si>
    <t>CH</t>
  </si>
  <si>
    <t>EN</t>
  </si>
  <si>
    <t>NOMBRE</t>
  </si>
  <si>
    <t>APELLIDO</t>
  </si>
  <si>
    <t>CARGO</t>
  </si>
  <si>
    <t>FECHA DE ALTA</t>
  </si>
  <si>
    <t>SALARIO</t>
  </si>
  <si>
    <t>Juan</t>
  </si>
  <si>
    <t>Jesús</t>
  </si>
  <si>
    <t>Rosalía</t>
  </si>
  <si>
    <t>Leo</t>
  </si>
  <si>
    <t>Cristiano</t>
  </si>
  <si>
    <t>Laporta</t>
  </si>
  <si>
    <t>Vázquez</t>
  </si>
  <si>
    <t>Vila</t>
  </si>
  <si>
    <t>Messi</t>
  </si>
  <si>
    <t>Ronaldo</t>
  </si>
  <si>
    <t>Operario</t>
  </si>
  <si>
    <t>Marketing</t>
  </si>
  <si>
    <t>Comercial</t>
  </si>
  <si>
    <t>Presidente</t>
  </si>
  <si>
    <t>enero</t>
  </si>
  <si>
    <t>comida</t>
  </si>
  <si>
    <t>bebida</t>
  </si>
  <si>
    <t>alquiler</t>
  </si>
  <si>
    <t>febrero</t>
  </si>
  <si>
    <t>marzo</t>
  </si>
  <si>
    <t>abril</t>
  </si>
  <si>
    <t>Suma de enero</t>
  </si>
  <si>
    <t>Suma de febrero</t>
  </si>
  <si>
    <t>Suma de marzo</t>
  </si>
  <si>
    <t>Suma de abril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</si>
</sst>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\ &quot;€&quot;"/>
    <numFmt numFmtId="165" formatCode="#,##0.00\ &quot;€&quot;;[Red]#,##0.00\ &quot;€&quot;"/>
  </numFmts>
  <fonts count="2" x14ac:knownFonts="1">
    <font>
      <sz val="11"/>
      <color theme="1"/>
      <name val="Franklin Gothic Book"/>
      <family val="2"/>
      <scheme val="minor"/>
    </font>
    <font>
      <b/>
      <sz val="11"/>
      <color theme="1"/>
      <name val="Franklin Gothic Book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 applyAlignment="1">
      <alignment vertical="center"/>
    </xf>
    <xf numFmtId="0" fontId="0" fillId="0" borderId="0" xfId="0" applyAlignment="1">
      <alignment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164" fontId="0" fillId="4" borderId="0" xfId="0" applyNumberFormat="1" applyFill="1" applyAlignment="1">
      <alignment horizontal="center" vertical="center"/>
    </xf>
    <xf numFmtId="0" fontId="0" fillId="4" borderId="0" xfId="0" applyFill="1" applyAlignment="1">
      <alignment vertical="center"/>
    </xf>
    <xf numFmtId="0" fontId="0" fillId="3" borderId="0" xfId="0" applyFill="1" applyAlignment="1">
      <alignment vertical="center"/>
    </xf>
    <xf numFmtId="0" fontId="0" fillId="5" borderId="0" xfId="0" applyFill="1" applyAlignment="1">
      <alignment vertical="center"/>
    </xf>
    <xf numFmtId="0" fontId="0" fillId="6" borderId="0" xfId="0" applyFill="1" applyAlignment="1">
      <alignment vertical="center"/>
    </xf>
    <xf numFmtId="0" fontId="0" fillId="7" borderId="0" xfId="0" applyFill="1" applyAlignment="1">
      <alignment vertical="center"/>
    </xf>
    <xf numFmtId="14" fontId="0" fillId="7" borderId="0" xfId="0" applyNumberFormat="1" applyFill="1" applyAlignment="1">
      <alignment vertical="center"/>
    </xf>
    <xf numFmtId="164" fontId="0" fillId="7" borderId="0" xfId="0" applyNumberFormat="1" applyFill="1" applyAlignment="1">
      <alignment vertical="center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7" borderId="0" xfId="0" applyNumberFormat="1" applyFill="1" applyAlignment="1">
      <alignment vertical="center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pivotCacheDefinition" Target="pivotCache/pivotCacheDefinition1.xml"/><Relationship Id="rId10" Type="http://schemas.openxmlformats.org/officeDocument/2006/relationships/powerPivotData" Target="model/item.data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SUVENIRS</a:t>
            </a:r>
            <a:r>
              <a:rPr lang="es-ES" baseline="0"/>
              <a:t> </a:t>
            </a:r>
            <a:endParaRPr lang="es-E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 w="19050" cap="flat" cmpd="sng" algn="ctr">
          <a:solidFill>
            <a:schemeClr val="tx1">
              <a:lumMod val="25000"/>
              <a:lumOff val="75000"/>
            </a:schemeClr>
          </a:solidFill>
          <a:round/>
        </a:ln>
        <a:effectLst/>
        <a:sp3d contourW="19050">
          <a:contourClr>
            <a:schemeClr val="tx1">
              <a:lumMod val="25000"/>
              <a:lumOff val="75000"/>
            </a:schemeClr>
          </a:contourClr>
        </a:sp3d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percentStacked"/>
        <c:varyColors val="0"/>
        <c:ser>
          <c:idx val="0"/>
          <c:order val="0"/>
          <c:tx>
            <c:strRef>
              <c:f>gráficos!$B$8</c:f>
              <c:strCache>
                <c:ptCount val="1"/>
                <c:pt idx="0">
                  <c:v>comida</c:v>
                </c:pt>
              </c:strCache>
            </c:strRef>
          </c:tx>
          <c:spPr>
            <a:pattFill prst="ltDnDiag">
              <a:fgClr>
                <a:schemeClr val="accent6"/>
              </a:fgClr>
              <a:bgClr>
                <a:schemeClr val="accent6">
                  <a:lumMod val="20000"/>
                  <a:lumOff val="80000"/>
                </a:schemeClr>
              </a:bgClr>
            </a:pattFill>
            <a:ln>
              <a:solidFill>
                <a:schemeClr val="accent6"/>
              </a:solidFill>
            </a:ln>
            <a:effectLst/>
            <a:sp3d>
              <a:contourClr>
                <a:schemeClr val="accent6"/>
              </a:contourClr>
            </a:sp3d>
          </c:spPr>
          <c:invertIfNegative val="0"/>
          <c:cat>
            <c:strRef>
              <c:f>gráficos!$C$7:$F$7</c:f>
              <c:strCache>
                <c:ptCount val="4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</c:strCache>
            </c:strRef>
          </c:cat>
          <c:val>
            <c:numRef>
              <c:f>gráficos!$C$8:$F$8</c:f>
              <c:numCache>
                <c:formatCode>#,##0.00\ "€";[Red]#,##0.00\ "€"</c:formatCode>
                <c:ptCount val="4"/>
                <c:pt idx="0">
                  <c:v>30</c:v>
                </c:pt>
                <c:pt idx="1">
                  <c:v>350</c:v>
                </c:pt>
                <c:pt idx="2">
                  <c:v>250</c:v>
                </c:pt>
                <c:pt idx="3">
                  <c:v>300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2A0-476D-9CE5-F19FD851201C}"/>
            </c:ext>
          </c:extLst>
        </c:ser>
        <c:ser>
          <c:idx val="1"/>
          <c:order val="1"/>
          <c:tx>
            <c:strRef>
              <c:f>gráficos!$B$9</c:f>
              <c:strCache>
                <c:ptCount val="1"/>
                <c:pt idx="0">
                  <c:v>bebida</c:v>
                </c:pt>
              </c:strCache>
            </c:strRef>
          </c:tx>
          <c:spPr>
            <a:pattFill prst="ltDnDiag">
              <a:fgClr>
                <a:schemeClr val="accent5"/>
              </a:fgClr>
              <a:bgClr>
                <a:schemeClr val="accent5">
                  <a:lumMod val="20000"/>
                  <a:lumOff val="80000"/>
                </a:schemeClr>
              </a:bgClr>
            </a:pattFill>
            <a:ln>
              <a:solidFill>
                <a:schemeClr val="accent5"/>
              </a:solidFill>
            </a:ln>
            <a:effectLst/>
            <a:sp3d>
              <a:contourClr>
                <a:schemeClr val="accent5"/>
              </a:contourClr>
            </a:sp3d>
          </c:spPr>
          <c:invertIfNegative val="0"/>
          <c:cat>
            <c:strRef>
              <c:f>gráficos!$C$7:$F$7</c:f>
              <c:strCache>
                <c:ptCount val="4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</c:strCache>
            </c:strRef>
          </c:cat>
          <c:val>
            <c:numRef>
              <c:f>gráficos!$C$9:$F$9</c:f>
              <c:numCache>
                <c:formatCode>#,##0.00\ "€";[Red]#,##0.00\ "€"</c:formatCode>
                <c:ptCount val="4"/>
                <c:pt idx="0">
                  <c:v>100</c:v>
                </c:pt>
                <c:pt idx="1">
                  <c:v>59</c:v>
                </c:pt>
                <c:pt idx="2">
                  <c:v>63</c:v>
                </c:pt>
                <c:pt idx="3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2A0-476D-9CE5-F19FD851201C}"/>
            </c:ext>
          </c:extLst>
        </c:ser>
        <c:ser>
          <c:idx val="2"/>
          <c:order val="2"/>
          <c:tx>
            <c:strRef>
              <c:f>gráficos!$B$10</c:f>
              <c:strCache>
                <c:ptCount val="1"/>
                <c:pt idx="0">
                  <c:v>alquiler</c:v>
                </c:pt>
              </c:strCache>
            </c:strRef>
          </c:tx>
          <c:spPr>
            <a:pattFill prst="ltDnDiag">
              <a:fgClr>
                <a:schemeClr val="accent4"/>
              </a:fgClr>
              <a:bgClr>
                <a:schemeClr val="accent4">
                  <a:lumMod val="20000"/>
                  <a:lumOff val="80000"/>
                </a:schemeClr>
              </a:bgClr>
            </a:pattFill>
            <a:ln>
              <a:solidFill>
                <a:schemeClr val="accent4"/>
              </a:solidFill>
            </a:ln>
            <a:effectLst/>
            <a:sp3d>
              <a:contourClr>
                <a:schemeClr val="accent4"/>
              </a:contourClr>
            </a:sp3d>
          </c:spPr>
          <c:invertIfNegative val="0"/>
          <c:cat>
            <c:strRef>
              <c:f>gráficos!$C$7:$F$7</c:f>
              <c:strCache>
                <c:ptCount val="4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</c:strCache>
            </c:strRef>
          </c:cat>
          <c:val>
            <c:numRef>
              <c:f>gráficos!$C$10:$F$10</c:f>
              <c:numCache>
                <c:formatCode>#,##0.00\ "€";[Red]#,##0.00\ "€"</c:formatCode>
                <c:ptCount val="4"/>
                <c:pt idx="0">
                  <c:v>800</c:v>
                </c:pt>
                <c:pt idx="1">
                  <c:v>85</c:v>
                </c:pt>
                <c:pt idx="2">
                  <c:v>90</c:v>
                </c:pt>
                <c:pt idx="3">
                  <c:v>900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2A0-476D-9CE5-F19FD85120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842345824"/>
        <c:axId val="1836039232"/>
        <c:axId val="0"/>
      </c:bar3DChart>
      <c:catAx>
        <c:axId val="18423458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836039232"/>
        <c:crosses val="autoZero"/>
        <c:auto val="1"/>
        <c:lblAlgn val="ctr"/>
        <c:lblOffset val="100"/>
        <c:noMultiLvlLbl val="0"/>
      </c:catAx>
      <c:valAx>
        <c:axId val="1836039232"/>
        <c:scaling>
          <c:orientation val="minMax"/>
        </c:scaling>
        <c:delete val="0"/>
        <c:axPos val="l"/>
        <c:majorGridlines>
          <c:spPr>
            <a:ln>
              <a:solidFill>
                <a:schemeClr val="tx1">
                  <a:lumMod val="15000"/>
                  <a:lumOff val="85000"/>
                </a:schemeClr>
              </a:solidFill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842345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gráficos!$B$8</c:f>
              <c:strCache>
                <c:ptCount val="1"/>
                <c:pt idx="0">
                  <c:v>comida</c:v>
                </c:pt>
              </c:strCache>
            </c:strRef>
          </c:tx>
          <c:dPt>
            <c:idx val="0"/>
            <c:bubble3D val="0"/>
            <c:spPr>
              <a:solidFill>
                <a:schemeClr val="accent6">
                  <a:alpha val="90000"/>
                </a:schemeClr>
              </a:solidFill>
              <a:ln w="19050">
                <a:solidFill>
                  <a:schemeClr val="accent6">
                    <a:lumMod val="75000"/>
                  </a:schemeClr>
                </a:solidFill>
              </a:ln>
              <a:effectLst>
                <a:innerShdw blurRad="114300">
                  <a:schemeClr val="accent6">
                    <a:lumMod val="75000"/>
                  </a:schemeClr>
                </a:innerShdw>
              </a:effectLst>
              <a:scene3d>
                <a:camera prst="orthographicFront"/>
                <a:lightRig rig="threePt" dir="t"/>
              </a:scene3d>
              <a:sp3d contourW="19050" prstMaterial="flat">
                <a:contourClr>
                  <a:schemeClr val="accent6">
                    <a:lumMod val="75000"/>
                  </a:schemeClr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0471-4D07-B128-327978655E62}"/>
              </c:ext>
            </c:extLst>
          </c:dPt>
          <c:dPt>
            <c:idx val="1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accent5">
                    <a:lumMod val="75000"/>
                  </a:schemeClr>
                </a:solidFill>
              </a:ln>
              <a:effectLst>
                <a:innerShdw blurRad="114300">
                  <a:schemeClr val="accent5">
                    <a:lumMod val="75000"/>
                  </a:schemeClr>
                </a:innerShdw>
              </a:effectLst>
              <a:scene3d>
                <a:camera prst="orthographicFront"/>
                <a:lightRig rig="threePt" dir="t"/>
              </a:scene3d>
              <a:sp3d contourW="19050" prstMaterial="flat">
                <a:contourClr>
                  <a:schemeClr val="accent5">
                    <a:lumMod val="75000"/>
                  </a:schemeClr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4-0471-4D07-B128-327978655E62}"/>
              </c:ext>
            </c:extLst>
          </c:dPt>
          <c:dPt>
            <c:idx val="2"/>
            <c:bubble3D val="0"/>
            <c:spPr>
              <a:solidFill>
                <a:schemeClr val="accent4">
                  <a:alpha val="90000"/>
                </a:schemeClr>
              </a:solidFill>
              <a:ln w="19050">
                <a:solidFill>
                  <a:schemeClr val="accent4">
                    <a:lumMod val="75000"/>
                  </a:schemeClr>
                </a:solidFill>
              </a:ln>
              <a:effectLst>
                <a:innerShdw blurRad="114300">
                  <a:schemeClr val="accent4">
                    <a:lumMod val="75000"/>
                  </a:schemeClr>
                </a:innerShdw>
              </a:effectLst>
              <a:scene3d>
                <a:camera prst="orthographicFront"/>
                <a:lightRig rig="threePt" dir="t"/>
              </a:scene3d>
              <a:sp3d contourW="19050" prstMaterial="flat">
                <a:contourClr>
                  <a:schemeClr val="accent4">
                    <a:lumMod val="75000"/>
                  </a:schemeClr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0471-4D07-B128-327978655E62}"/>
              </c:ext>
            </c:extLst>
          </c:dPt>
          <c:dPt>
            <c:idx val="3"/>
            <c:bubble3D val="0"/>
            <c:spPr>
              <a:solidFill>
                <a:schemeClr val="accent6">
                  <a:lumMod val="60000"/>
                  <a:alpha val="90000"/>
                </a:schemeClr>
              </a:solidFill>
              <a:ln w="19050">
                <a:solidFill>
                  <a:schemeClr val="accent6">
                    <a:lumMod val="60000"/>
                    <a:lumMod val="75000"/>
                  </a:schemeClr>
                </a:solidFill>
              </a:ln>
              <a:effectLst>
                <a:innerShdw blurRad="114300">
                  <a:schemeClr val="accent6">
                    <a:lumMod val="60000"/>
                    <a:lumMod val="75000"/>
                  </a:schemeClr>
                </a:innerShdw>
              </a:effectLst>
              <a:scene3d>
                <a:camera prst="orthographicFront"/>
                <a:lightRig rig="threePt" dir="t"/>
              </a:scene3d>
              <a:sp3d contourW="19050" prstMaterial="flat">
                <a:contourClr>
                  <a:schemeClr val="accent6">
                    <a:lumMod val="60000"/>
                    <a:lumMod val="75000"/>
                  </a:schemeClr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6-0471-4D07-B128-327978655E62}"/>
              </c:ext>
            </c:extLst>
          </c:dPt>
          <c:dLbls>
            <c:dLbl>
              <c:idx val="0"/>
              <c:spPr>
                <a:solidFill>
                  <a:schemeClr val="lt1">
                    <a:alpha val="90000"/>
                  </a:schemeClr>
                </a:solidFill>
                <a:ln w="12700" cap="flat" cmpd="sng" algn="ctr">
                  <a:solidFill>
                    <a:schemeClr val="accent6"/>
                  </a:solidFill>
                  <a:round/>
                </a:ln>
                <a:effectLst>
                  <a:outerShdw blurRad="50800" dist="38100" dir="2700000" algn="tl" rotWithShape="0">
                    <a:schemeClr val="accent6">
                      <a:lumMod val="75000"/>
                      <a:alpha val="40000"/>
                    </a:schemeClr>
                  </a:outerShdw>
                </a:effectLst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0" i="0" u="none" strike="noStrike" kern="1200" baseline="0">
                      <a:solidFill>
                        <a:schemeClr val="accent6"/>
                      </a:solidFill>
                      <a:effectLst/>
                      <a:latin typeface="+mn-lt"/>
                      <a:ea typeface="+mn-ea"/>
                      <a:cs typeface="+mn-cs"/>
                    </a:defRPr>
                  </a:pPr>
                  <a:endParaRPr lang="es-ES"/>
                </a:p>
              </c:txPr>
              <c:dLblPos val="in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0471-4D07-B128-327978655E62}"/>
                </c:ext>
              </c:extLst>
            </c:dLbl>
            <c:dLbl>
              <c:idx val="1"/>
              <c:spPr>
                <a:solidFill>
                  <a:schemeClr val="lt1">
                    <a:alpha val="90000"/>
                  </a:schemeClr>
                </a:solidFill>
                <a:ln w="12700" cap="flat" cmpd="sng" algn="ctr">
                  <a:solidFill>
                    <a:schemeClr val="accent5"/>
                  </a:solidFill>
                  <a:round/>
                </a:ln>
                <a:effectLst>
                  <a:outerShdw blurRad="50800" dist="38100" dir="2700000" algn="tl" rotWithShape="0">
                    <a:schemeClr val="accent5">
                      <a:lumMod val="75000"/>
                      <a:alpha val="40000"/>
                    </a:schemeClr>
                  </a:outerShdw>
                </a:effectLst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0" i="0" u="none" strike="noStrike" kern="1200" baseline="0">
                      <a:solidFill>
                        <a:schemeClr val="accent5"/>
                      </a:solidFill>
                      <a:effectLst/>
                      <a:latin typeface="+mn-lt"/>
                      <a:ea typeface="+mn-ea"/>
                      <a:cs typeface="+mn-cs"/>
                    </a:defRPr>
                  </a:pPr>
                  <a:endParaRPr lang="es-ES"/>
                </a:p>
              </c:txPr>
              <c:dLblPos val="in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4-0471-4D07-B128-327978655E62}"/>
                </c:ext>
              </c:extLst>
            </c:dLbl>
            <c:dLbl>
              <c:idx val="2"/>
              <c:spPr>
                <a:solidFill>
                  <a:schemeClr val="lt1">
                    <a:alpha val="90000"/>
                  </a:schemeClr>
                </a:solidFill>
                <a:ln w="12700" cap="flat" cmpd="sng" algn="ctr">
                  <a:solidFill>
                    <a:schemeClr val="accent4"/>
                  </a:solidFill>
                  <a:round/>
                </a:ln>
                <a:effectLst>
                  <a:outerShdw blurRad="50800" dist="38100" dir="2700000" algn="tl" rotWithShape="0">
                    <a:schemeClr val="accent4">
                      <a:lumMod val="75000"/>
                      <a:alpha val="40000"/>
                    </a:schemeClr>
                  </a:outerShdw>
                </a:effectLst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0" i="0" u="none" strike="noStrike" kern="1200" baseline="0">
                      <a:solidFill>
                        <a:schemeClr val="accent4"/>
                      </a:solidFill>
                      <a:effectLst/>
                      <a:latin typeface="+mn-lt"/>
                      <a:ea typeface="+mn-ea"/>
                      <a:cs typeface="+mn-cs"/>
                    </a:defRPr>
                  </a:pPr>
                  <a:endParaRPr lang="es-ES"/>
                </a:p>
              </c:txPr>
              <c:dLblPos val="in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0471-4D07-B128-327978655E62}"/>
                </c:ext>
              </c:extLst>
            </c:dLbl>
            <c:dLbl>
              <c:idx val="3"/>
              <c:spPr>
                <a:solidFill>
                  <a:schemeClr val="lt1">
                    <a:alpha val="90000"/>
                  </a:schemeClr>
                </a:solidFill>
                <a:ln w="12700" cap="flat" cmpd="sng" algn="ctr">
                  <a:solidFill>
                    <a:schemeClr val="accent6">
                      <a:lumMod val="60000"/>
                    </a:schemeClr>
                  </a:solidFill>
                  <a:round/>
                </a:ln>
                <a:effectLst>
                  <a:outerShdw blurRad="50800" dist="38100" dir="2700000" algn="tl" rotWithShape="0">
                    <a:schemeClr val="accent6">
                      <a:lumMod val="60000"/>
                      <a:lumMod val="75000"/>
                      <a:alpha val="40000"/>
                    </a:schemeClr>
                  </a:outerShdw>
                </a:effectLst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0" i="0" u="none" strike="noStrike" kern="1200" baseline="0">
                      <a:solidFill>
                        <a:schemeClr val="accent6">
                          <a:lumMod val="60000"/>
                        </a:schemeClr>
                      </a:solidFill>
                      <a:effectLst/>
                      <a:latin typeface="+mn-lt"/>
                      <a:ea typeface="+mn-ea"/>
                      <a:cs typeface="+mn-cs"/>
                    </a:defRPr>
                  </a:pPr>
                  <a:endParaRPr lang="es-ES"/>
                </a:p>
              </c:txPr>
              <c:dLblPos val="in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6-0471-4D07-B128-327978655E62}"/>
                </c:ext>
              </c:extLst>
            </c:dLbl>
            <c:dLblPos val="inEnd"/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gráficos!$C$7:$F$7</c:f>
              <c:strCache>
                <c:ptCount val="4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</c:strCache>
            </c:strRef>
          </c:cat>
          <c:val>
            <c:numRef>
              <c:f>gráficos!$C$8:$F$8</c:f>
              <c:numCache>
                <c:formatCode>#,##0.00\ "€";[Red]#,##0.00\ "€"</c:formatCode>
                <c:ptCount val="4"/>
                <c:pt idx="0">
                  <c:v>30</c:v>
                </c:pt>
                <c:pt idx="1">
                  <c:v>350</c:v>
                </c:pt>
                <c:pt idx="2">
                  <c:v>250</c:v>
                </c:pt>
                <c:pt idx="3">
                  <c:v>300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71-4D07-B128-327978655E62}"/>
            </c:ext>
          </c:extLst>
        </c:ser>
        <c:ser>
          <c:idx val="1"/>
          <c:order val="1"/>
          <c:tx>
            <c:strRef>
              <c:f>gráficos!$B$9</c:f>
              <c:strCache>
                <c:ptCount val="1"/>
                <c:pt idx="0">
                  <c:v>bebida</c:v>
                </c:pt>
              </c:strCache>
            </c:strRef>
          </c:tx>
          <c:dPt>
            <c:idx val="0"/>
            <c:bubble3D val="0"/>
            <c:spPr>
              <a:solidFill>
                <a:schemeClr val="accent6">
                  <a:alpha val="90000"/>
                </a:schemeClr>
              </a:solidFill>
              <a:ln w="19050">
                <a:solidFill>
                  <a:schemeClr val="accent6">
                    <a:lumMod val="75000"/>
                  </a:schemeClr>
                </a:solidFill>
              </a:ln>
              <a:effectLst>
                <a:innerShdw blurRad="114300">
                  <a:schemeClr val="accent6">
                    <a:lumMod val="75000"/>
                  </a:schemeClr>
                </a:innerShdw>
              </a:effectLst>
              <a:scene3d>
                <a:camera prst="orthographicFront"/>
                <a:lightRig rig="threePt" dir="t"/>
              </a:scene3d>
              <a:sp3d contourW="19050" prstMaterial="flat">
                <a:contourClr>
                  <a:schemeClr val="accent6">
                    <a:lumMod val="75000"/>
                  </a:schemeClr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0471-4D07-B128-327978655E62}"/>
              </c:ext>
            </c:extLst>
          </c:dPt>
          <c:dPt>
            <c:idx val="1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accent5">
                    <a:lumMod val="75000"/>
                  </a:schemeClr>
                </a:solidFill>
              </a:ln>
              <a:effectLst>
                <a:innerShdw blurRad="114300">
                  <a:schemeClr val="accent5">
                    <a:lumMod val="75000"/>
                  </a:schemeClr>
                </a:innerShdw>
              </a:effectLst>
              <a:scene3d>
                <a:camera prst="orthographicFront"/>
                <a:lightRig rig="threePt" dir="t"/>
              </a:scene3d>
              <a:sp3d contourW="19050" prstMaterial="flat">
                <a:contourClr>
                  <a:schemeClr val="accent5">
                    <a:lumMod val="75000"/>
                  </a:schemeClr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8-0471-4D07-B128-327978655E62}"/>
              </c:ext>
            </c:extLst>
          </c:dPt>
          <c:dPt>
            <c:idx val="2"/>
            <c:bubble3D val="0"/>
            <c:spPr>
              <a:solidFill>
                <a:schemeClr val="accent4">
                  <a:alpha val="90000"/>
                </a:schemeClr>
              </a:solidFill>
              <a:ln w="19050">
                <a:solidFill>
                  <a:schemeClr val="accent4">
                    <a:lumMod val="75000"/>
                  </a:schemeClr>
                </a:solidFill>
              </a:ln>
              <a:effectLst>
                <a:innerShdw blurRad="114300">
                  <a:schemeClr val="accent4">
                    <a:lumMod val="75000"/>
                  </a:schemeClr>
                </a:innerShdw>
              </a:effectLst>
              <a:scene3d>
                <a:camera prst="orthographicFront"/>
                <a:lightRig rig="threePt" dir="t"/>
              </a:scene3d>
              <a:sp3d contourW="19050" prstMaterial="flat">
                <a:contourClr>
                  <a:schemeClr val="accent4">
                    <a:lumMod val="75000"/>
                  </a:schemeClr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0471-4D07-B128-327978655E62}"/>
              </c:ext>
            </c:extLst>
          </c:dPt>
          <c:dPt>
            <c:idx val="3"/>
            <c:bubble3D val="0"/>
            <c:spPr>
              <a:solidFill>
                <a:schemeClr val="accent6">
                  <a:lumMod val="60000"/>
                  <a:alpha val="90000"/>
                </a:schemeClr>
              </a:solidFill>
              <a:ln w="19050">
                <a:solidFill>
                  <a:schemeClr val="accent6">
                    <a:lumMod val="60000"/>
                    <a:lumMod val="75000"/>
                  </a:schemeClr>
                </a:solidFill>
              </a:ln>
              <a:effectLst>
                <a:innerShdw blurRad="114300">
                  <a:schemeClr val="accent6">
                    <a:lumMod val="60000"/>
                    <a:lumMod val="75000"/>
                  </a:schemeClr>
                </a:innerShdw>
              </a:effectLst>
              <a:scene3d>
                <a:camera prst="orthographicFront"/>
                <a:lightRig rig="threePt" dir="t"/>
              </a:scene3d>
              <a:sp3d contourW="19050" prstMaterial="flat">
                <a:contourClr>
                  <a:schemeClr val="accent6">
                    <a:lumMod val="60000"/>
                    <a:lumMod val="75000"/>
                  </a:schemeClr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A-0471-4D07-B128-327978655E62}"/>
              </c:ext>
            </c:extLst>
          </c:dPt>
          <c:dLbls>
            <c:dLbl>
              <c:idx val="0"/>
              <c:spPr>
                <a:solidFill>
                  <a:schemeClr val="lt1">
                    <a:alpha val="90000"/>
                  </a:schemeClr>
                </a:solidFill>
                <a:ln w="12700" cap="flat" cmpd="sng" algn="ctr">
                  <a:solidFill>
                    <a:schemeClr val="accent6"/>
                  </a:solidFill>
                  <a:round/>
                </a:ln>
                <a:effectLst>
                  <a:outerShdw blurRad="50800" dist="38100" dir="2700000" algn="tl" rotWithShape="0">
                    <a:schemeClr val="accent6">
                      <a:lumMod val="75000"/>
                      <a:alpha val="40000"/>
                    </a:schemeClr>
                  </a:outerShdw>
                </a:effectLst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0" i="0" u="none" strike="noStrike" kern="1200" baseline="0">
                      <a:solidFill>
                        <a:schemeClr val="accent6"/>
                      </a:solidFill>
                      <a:effectLst/>
                      <a:latin typeface="+mn-lt"/>
                      <a:ea typeface="+mn-ea"/>
                      <a:cs typeface="+mn-cs"/>
                    </a:defRPr>
                  </a:pPr>
                  <a:endParaRPr lang="es-ES"/>
                </a:p>
              </c:txPr>
              <c:dLblPos val="in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7-0471-4D07-B128-327978655E62}"/>
                </c:ext>
              </c:extLst>
            </c:dLbl>
            <c:dLbl>
              <c:idx val="1"/>
              <c:spPr>
                <a:solidFill>
                  <a:schemeClr val="lt1">
                    <a:alpha val="90000"/>
                  </a:schemeClr>
                </a:solidFill>
                <a:ln w="12700" cap="flat" cmpd="sng" algn="ctr">
                  <a:solidFill>
                    <a:schemeClr val="accent5"/>
                  </a:solidFill>
                  <a:round/>
                </a:ln>
                <a:effectLst>
                  <a:outerShdw blurRad="50800" dist="38100" dir="2700000" algn="tl" rotWithShape="0">
                    <a:schemeClr val="accent5">
                      <a:lumMod val="75000"/>
                      <a:alpha val="40000"/>
                    </a:schemeClr>
                  </a:outerShdw>
                </a:effectLst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0" i="0" u="none" strike="noStrike" kern="1200" baseline="0">
                      <a:solidFill>
                        <a:schemeClr val="accent5"/>
                      </a:solidFill>
                      <a:effectLst/>
                      <a:latin typeface="+mn-lt"/>
                      <a:ea typeface="+mn-ea"/>
                      <a:cs typeface="+mn-cs"/>
                    </a:defRPr>
                  </a:pPr>
                  <a:endParaRPr lang="es-ES"/>
                </a:p>
              </c:txPr>
              <c:dLblPos val="in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8-0471-4D07-B128-327978655E62}"/>
                </c:ext>
              </c:extLst>
            </c:dLbl>
            <c:dLbl>
              <c:idx val="2"/>
              <c:spPr>
                <a:solidFill>
                  <a:schemeClr val="lt1">
                    <a:alpha val="90000"/>
                  </a:schemeClr>
                </a:solidFill>
                <a:ln w="12700" cap="flat" cmpd="sng" algn="ctr">
                  <a:solidFill>
                    <a:schemeClr val="accent4"/>
                  </a:solidFill>
                  <a:round/>
                </a:ln>
                <a:effectLst>
                  <a:outerShdw blurRad="50800" dist="38100" dir="2700000" algn="tl" rotWithShape="0">
                    <a:schemeClr val="accent4">
                      <a:lumMod val="75000"/>
                      <a:alpha val="40000"/>
                    </a:schemeClr>
                  </a:outerShdw>
                </a:effectLst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0" i="0" u="none" strike="noStrike" kern="1200" baseline="0">
                      <a:solidFill>
                        <a:schemeClr val="accent4"/>
                      </a:solidFill>
                      <a:effectLst/>
                      <a:latin typeface="+mn-lt"/>
                      <a:ea typeface="+mn-ea"/>
                      <a:cs typeface="+mn-cs"/>
                    </a:defRPr>
                  </a:pPr>
                  <a:endParaRPr lang="es-ES"/>
                </a:p>
              </c:txPr>
              <c:dLblPos val="in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9-0471-4D07-B128-327978655E62}"/>
                </c:ext>
              </c:extLst>
            </c:dLbl>
            <c:dLbl>
              <c:idx val="3"/>
              <c:spPr>
                <a:solidFill>
                  <a:schemeClr val="lt1">
                    <a:alpha val="90000"/>
                  </a:schemeClr>
                </a:solidFill>
                <a:ln w="12700" cap="flat" cmpd="sng" algn="ctr">
                  <a:solidFill>
                    <a:schemeClr val="accent6">
                      <a:lumMod val="60000"/>
                    </a:schemeClr>
                  </a:solidFill>
                  <a:round/>
                </a:ln>
                <a:effectLst>
                  <a:outerShdw blurRad="50800" dist="38100" dir="2700000" algn="tl" rotWithShape="0">
                    <a:schemeClr val="accent6">
                      <a:lumMod val="60000"/>
                      <a:lumMod val="75000"/>
                      <a:alpha val="40000"/>
                    </a:schemeClr>
                  </a:outerShdw>
                </a:effectLst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0" i="0" u="none" strike="noStrike" kern="1200" baseline="0">
                      <a:solidFill>
                        <a:schemeClr val="accent6">
                          <a:lumMod val="60000"/>
                        </a:schemeClr>
                      </a:solidFill>
                      <a:effectLst/>
                      <a:latin typeface="+mn-lt"/>
                      <a:ea typeface="+mn-ea"/>
                      <a:cs typeface="+mn-cs"/>
                    </a:defRPr>
                  </a:pPr>
                  <a:endParaRPr lang="es-ES"/>
                </a:p>
              </c:txPr>
              <c:dLblPos val="in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A-0471-4D07-B128-327978655E62}"/>
                </c:ext>
              </c:extLst>
            </c:dLbl>
            <c:dLblPos val="inEnd"/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gráficos!$C$7:$F$7</c:f>
              <c:strCache>
                <c:ptCount val="4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</c:strCache>
            </c:strRef>
          </c:cat>
          <c:val>
            <c:numRef>
              <c:f>gráficos!$C$9:$F$9</c:f>
              <c:numCache>
                <c:formatCode>#,##0.00\ "€";[Red]#,##0.00\ "€"</c:formatCode>
                <c:ptCount val="4"/>
                <c:pt idx="0">
                  <c:v>100</c:v>
                </c:pt>
                <c:pt idx="1">
                  <c:v>59</c:v>
                </c:pt>
                <c:pt idx="2">
                  <c:v>63</c:v>
                </c:pt>
                <c:pt idx="3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471-4D07-B128-327978655E62}"/>
            </c:ext>
          </c:extLst>
        </c:ser>
        <c:ser>
          <c:idx val="2"/>
          <c:order val="2"/>
          <c:tx>
            <c:strRef>
              <c:f>gráficos!$B$10</c:f>
              <c:strCache>
                <c:ptCount val="1"/>
                <c:pt idx="0">
                  <c:v>alquiler</c:v>
                </c:pt>
              </c:strCache>
            </c:strRef>
          </c:tx>
          <c:dPt>
            <c:idx val="0"/>
            <c:bubble3D val="0"/>
            <c:spPr>
              <a:solidFill>
                <a:schemeClr val="accent6">
                  <a:alpha val="90000"/>
                </a:schemeClr>
              </a:solidFill>
              <a:ln w="19050">
                <a:solidFill>
                  <a:schemeClr val="accent6">
                    <a:lumMod val="75000"/>
                  </a:schemeClr>
                </a:solidFill>
              </a:ln>
              <a:effectLst>
                <a:innerShdw blurRad="114300">
                  <a:schemeClr val="accent6">
                    <a:lumMod val="75000"/>
                  </a:schemeClr>
                </a:innerShdw>
              </a:effectLst>
              <a:scene3d>
                <a:camera prst="orthographicFront"/>
                <a:lightRig rig="threePt" dir="t"/>
              </a:scene3d>
              <a:sp3d contourW="19050" prstMaterial="flat">
                <a:contourClr>
                  <a:schemeClr val="accent6">
                    <a:lumMod val="75000"/>
                  </a:schemeClr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0471-4D07-B128-327978655E62}"/>
              </c:ext>
            </c:extLst>
          </c:dPt>
          <c:dPt>
            <c:idx val="1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accent5">
                    <a:lumMod val="75000"/>
                  </a:schemeClr>
                </a:solidFill>
              </a:ln>
              <a:effectLst>
                <a:innerShdw blurRad="114300">
                  <a:schemeClr val="accent5">
                    <a:lumMod val="75000"/>
                  </a:schemeClr>
                </a:innerShdw>
              </a:effectLst>
              <a:scene3d>
                <a:camera prst="orthographicFront"/>
                <a:lightRig rig="threePt" dir="t"/>
              </a:scene3d>
              <a:sp3d contourW="19050" prstMaterial="flat">
                <a:contourClr>
                  <a:schemeClr val="accent5">
                    <a:lumMod val="75000"/>
                  </a:schemeClr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C-0471-4D07-B128-327978655E62}"/>
              </c:ext>
            </c:extLst>
          </c:dPt>
          <c:dPt>
            <c:idx val="2"/>
            <c:bubble3D val="0"/>
            <c:spPr>
              <a:solidFill>
                <a:schemeClr val="accent4">
                  <a:alpha val="90000"/>
                </a:schemeClr>
              </a:solidFill>
              <a:ln w="19050">
                <a:solidFill>
                  <a:schemeClr val="accent4">
                    <a:lumMod val="75000"/>
                  </a:schemeClr>
                </a:solidFill>
              </a:ln>
              <a:effectLst>
                <a:innerShdw blurRad="114300">
                  <a:schemeClr val="accent4">
                    <a:lumMod val="75000"/>
                  </a:schemeClr>
                </a:innerShdw>
              </a:effectLst>
              <a:scene3d>
                <a:camera prst="orthographicFront"/>
                <a:lightRig rig="threePt" dir="t"/>
              </a:scene3d>
              <a:sp3d contourW="19050" prstMaterial="flat">
                <a:contourClr>
                  <a:schemeClr val="accent4">
                    <a:lumMod val="75000"/>
                  </a:schemeClr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0471-4D07-B128-327978655E62}"/>
              </c:ext>
            </c:extLst>
          </c:dPt>
          <c:dPt>
            <c:idx val="3"/>
            <c:bubble3D val="0"/>
            <c:spPr>
              <a:solidFill>
                <a:schemeClr val="accent6">
                  <a:lumMod val="60000"/>
                  <a:alpha val="90000"/>
                </a:schemeClr>
              </a:solidFill>
              <a:ln w="19050">
                <a:solidFill>
                  <a:schemeClr val="accent6">
                    <a:lumMod val="60000"/>
                    <a:lumMod val="75000"/>
                  </a:schemeClr>
                </a:solidFill>
              </a:ln>
              <a:effectLst>
                <a:innerShdw blurRad="114300">
                  <a:schemeClr val="accent6">
                    <a:lumMod val="60000"/>
                    <a:lumMod val="75000"/>
                  </a:schemeClr>
                </a:innerShdw>
              </a:effectLst>
              <a:scene3d>
                <a:camera prst="orthographicFront"/>
                <a:lightRig rig="threePt" dir="t"/>
              </a:scene3d>
              <a:sp3d contourW="19050" prstMaterial="flat">
                <a:contourClr>
                  <a:schemeClr val="accent6">
                    <a:lumMod val="60000"/>
                    <a:lumMod val="75000"/>
                  </a:schemeClr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E-0471-4D07-B128-327978655E62}"/>
              </c:ext>
            </c:extLst>
          </c:dPt>
          <c:dLbls>
            <c:dLbl>
              <c:idx val="0"/>
              <c:spPr>
                <a:solidFill>
                  <a:schemeClr val="lt1">
                    <a:alpha val="90000"/>
                  </a:schemeClr>
                </a:solidFill>
                <a:ln w="12700" cap="flat" cmpd="sng" algn="ctr">
                  <a:solidFill>
                    <a:schemeClr val="accent6"/>
                  </a:solidFill>
                  <a:round/>
                </a:ln>
                <a:effectLst>
                  <a:outerShdw blurRad="50800" dist="38100" dir="2700000" algn="tl" rotWithShape="0">
                    <a:schemeClr val="accent6">
                      <a:lumMod val="75000"/>
                      <a:alpha val="40000"/>
                    </a:schemeClr>
                  </a:outerShdw>
                </a:effectLst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0" i="0" u="none" strike="noStrike" kern="1200" baseline="0">
                      <a:solidFill>
                        <a:schemeClr val="accent6"/>
                      </a:solidFill>
                      <a:effectLst/>
                      <a:latin typeface="+mn-lt"/>
                      <a:ea typeface="+mn-ea"/>
                      <a:cs typeface="+mn-cs"/>
                    </a:defRPr>
                  </a:pPr>
                  <a:endParaRPr lang="es-ES"/>
                </a:p>
              </c:txPr>
              <c:dLblPos val="in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B-0471-4D07-B128-327978655E62}"/>
                </c:ext>
              </c:extLst>
            </c:dLbl>
            <c:dLbl>
              <c:idx val="1"/>
              <c:spPr>
                <a:solidFill>
                  <a:schemeClr val="lt1">
                    <a:alpha val="90000"/>
                  </a:schemeClr>
                </a:solidFill>
                <a:ln w="12700" cap="flat" cmpd="sng" algn="ctr">
                  <a:solidFill>
                    <a:schemeClr val="accent5"/>
                  </a:solidFill>
                  <a:round/>
                </a:ln>
                <a:effectLst>
                  <a:outerShdw blurRad="50800" dist="38100" dir="2700000" algn="tl" rotWithShape="0">
                    <a:schemeClr val="accent5">
                      <a:lumMod val="75000"/>
                      <a:alpha val="40000"/>
                    </a:schemeClr>
                  </a:outerShdw>
                </a:effectLst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0" i="0" u="none" strike="noStrike" kern="1200" baseline="0">
                      <a:solidFill>
                        <a:schemeClr val="accent5"/>
                      </a:solidFill>
                      <a:effectLst/>
                      <a:latin typeface="+mn-lt"/>
                      <a:ea typeface="+mn-ea"/>
                      <a:cs typeface="+mn-cs"/>
                    </a:defRPr>
                  </a:pPr>
                  <a:endParaRPr lang="es-ES"/>
                </a:p>
              </c:txPr>
              <c:dLblPos val="in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C-0471-4D07-B128-327978655E62}"/>
                </c:ext>
              </c:extLst>
            </c:dLbl>
            <c:dLbl>
              <c:idx val="2"/>
              <c:spPr>
                <a:solidFill>
                  <a:schemeClr val="lt1">
                    <a:alpha val="90000"/>
                  </a:schemeClr>
                </a:solidFill>
                <a:ln w="12700" cap="flat" cmpd="sng" algn="ctr">
                  <a:solidFill>
                    <a:schemeClr val="accent4"/>
                  </a:solidFill>
                  <a:round/>
                </a:ln>
                <a:effectLst>
                  <a:outerShdw blurRad="50800" dist="38100" dir="2700000" algn="tl" rotWithShape="0">
                    <a:schemeClr val="accent4">
                      <a:lumMod val="75000"/>
                      <a:alpha val="40000"/>
                    </a:schemeClr>
                  </a:outerShdw>
                </a:effectLst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0" i="0" u="none" strike="noStrike" kern="1200" baseline="0">
                      <a:solidFill>
                        <a:schemeClr val="accent4"/>
                      </a:solidFill>
                      <a:effectLst/>
                      <a:latin typeface="+mn-lt"/>
                      <a:ea typeface="+mn-ea"/>
                      <a:cs typeface="+mn-cs"/>
                    </a:defRPr>
                  </a:pPr>
                  <a:endParaRPr lang="es-ES"/>
                </a:p>
              </c:txPr>
              <c:dLblPos val="in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D-0471-4D07-B128-327978655E62}"/>
                </c:ext>
              </c:extLst>
            </c:dLbl>
            <c:dLbl>
              <c:idx val="3"/>
              <c:spPr>
                <a:solidFill>
                  <a:schemeClr val="lt1">
                    <a:alpha val="90000"/>
                  </a:schemeClr>
                </a:solidFill>
                <a:ln w="12700" cap="flat" cmpd="sng" algn="ctr">
                  <a:solidFill>
                    <a:schemeClr val="accent6">
                      <a:lumMod val="60000"/>
                    </a:schemeClr>
                  </a:solidFill>
                  <a:round/>
                </a:ln>
                <a:effectLst>
                  <a:outerShdw blurRad="50800" dist="38100" dir="2700000" algn="tl" rotWithShape="0">
                    <a:schemeClr val="accent6">
                      <a:lumMod val="60000"/>
                      <a:lumMod val="75000"/>
                      <a:alpha val="40000"/>
                    </a:schemeClr>
                  </a:outerShdw>
                </a:effectLst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0" i="0" u="none" strike="noStrike" kern="1200" baseline="0">
                      <a:solidFill>
                        <a:schemeClr val="accent6">
                          <a:lumMod val="60000"/>
                        </a:schemeClr>
                      </a:solidFill>
                      <a:effectLst/>
                      <a:latin typeface="+mn-lt"/>
                      <a:ea typeface="+mn-ea"/>
                      <a:cs typeface="+mn-cs"/>
                    </a:defRPr>
                  </a:pPr>
                  <a:endParaRPr lang="es-ES"/>
                </a:p>
              </c:txPr>
              <c:dLblPos val="in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E-0471-4D07-B128-327978655E62}"/>
                </c:ext>
              </c:extLst>
            </c:dLbl>
            <c:dLblPos val="inEnd"/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gráficos!$C$7:$F$7</c:f>
              <c:strCache>
                <c:ptCount val="4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</c:strCache>
            </c:strRef>
          </c:cat>
          <c:val>
            <c:numRef>
              <c:f>gráficos!$C$10:$F$10</c:f>
              <c:numCache>
                <c:formatCode>#,##0.00\ "€";[Red]#,##0.00\ "€"</c:formatCode>
                <c:ptCount val="4"/>
                <c:pt idx="0">
                  <c:v>800</c:v>
                </c:pt>
                <c:pt idx="1">
                  <c:v>85</c:v>
                </c:pt>
                <c:pt idx="2">
                  <c:v>90</c:v>
                </c:pt>
                <c:pt idx="3">
                  <c:v>900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471-4D07-B128-327978655E62}"/>
            </c:ext>
          </c:extLst>
        </c:ser>
        <c:dLbls>
          <c:dLblPos val="inEnd"/>
          <c:showLegendKey val="0"/>
          <c:showVal val="0"/>
          <c:showCatName val="1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none" spc="0" normalizeH="0" baseline="0">
                <a:solidFill>
                  <a:schemeClr val="dk1">
                    <a:lumMod val="50000"/>
                    <a:lumOff val="50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s-ES" sz="1800" b="1" i="0" cap="all" baseline="0">
                <a:effectLst/>
              </a:rPr>
              <a:t>SUVENIRS </a:t>
            </a:r>
            <a:endParaRPr lang="es-ES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none" spc="0" normalizeH="0" baseline="0">
              <a:solidFill>
                <a:schemeClr val="dk1">
                  <a:lumMod val="50000"/>
                  <a:lumOff val="50000"/>
                </a:schemeClr>
              </a:solidFill>
              <a:latin typeface="+mj-lt"/>
              <a:ea typeface="+mj-ea"/>
              <a:cs typeface="+mj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gráficos!$B$8</c:f>
              <c:strCache>
                <c:ptCount val="1"/>
                <c:pt idx="0">
                  <c:v>comida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gráficos!$C$7:$F$7</c:f>
              <c:strCache>
                <c:ptCount val="4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</c:strCache>
            </c:strRef>
          </c:cat>
          <c:val>
            <c:numRef>
              <c:f>gráficos!$C$8:$F$8</c:f>
              <c:numCache>
                <c:formatCode>#,##0.00\ "€";[Red]#,##0.00\ "€"</c:formatCode>
                <c:ptCount val="4"/>
                <c:pt idx="0">
                  <c:v>30</c:v>
                </c:pt>
                <c:pt idx="1">
                  <c:v>350</c:v>
                </c:pt>
                <c:pt idx="2">
                  <c:v>250</c:v>
                </c:pt>
                <c:pt idx="3">
                  <c:v>300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C8-46F6-9F07-3D8E2466929A}"/>
            </c:ext>
          </c:extLst>
        </c:ser>
        <c:ser>
          <c:idx val="1"/>
          <c:order val="1"/>
          <c:tx>
            <c:strRef>
              <c:f>gráficos!$B$9</c:f>
              <c:strCache>
                <c:ptCount val="1"/>
                <c:pt idx="0">
                  <c:v>bebida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gráficos!$C$7:$F$7</c:f>
              <c:strCache>
                <c:ptCount val="4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</c:strCache>
            </c:strRef>
          </c:cat>
          <c:val>
            <c:numRef>
              <c:f>gráficos!$C$9:$F$9</c:f>
              <c:numCache>
                <c:formatCode>#,##0.00\ "€";[Red]#,##0.00\ "€"</c:formatCode>
                <c:ptCount val="4"/>
                <c:pt idx="0">
                  <c:v>100</c:v>
                </c:pt>
                <c:pt idx="1">
                  <c:v>59</c:v>
                </c:pt>
                <c:pt idx="2">
                  <c:v>63</c:v>
                </c:pt>
                <c:pt idx="3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5C8-46F6-9F07-3D8E2466929A}"/>
            </c:ext>
          </c:extLst>
        </c:ser>
        <c:ser>
          <c:idx val="2"/>
          <c:order val="2"/>
          <c:tx>
            <c:strRef>
              <c:f>gráficos!$B$10</c:f>
              <c:strCache>
                <c:ptCount val="1"/>
                <c:pt idx="0">
                  <c:v>alquiler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gráficos!$C$7:$F$7</c:f>
              <c:strCache>
                <c:ptCount val="4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</c:strCache>
            </c:strRef>
          </c:cat>
          <c:val>
            <c:numRef>
              <c:f>gráficos!$C$10:$F$10</c:f>
              <c:numCache>
                <c:formatCode>#,##0.00\ "€";[Red]#,##0.00\ "€"</c:formatCode>
                <c:ptCount val="4"/>
                <c:pt idx="0">
                  <c:v>800</c:v>
                </c:pt>
                <c:pt idx="1">
                  <c:v>85</c:v>
                </c:pt>
                <c:pt idx="2">
                  <c:v>90</c:v>
                </c:pt>
                <c:pt idx="3">
                  <c:v>900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5C8-46F6-9F07-3D8E246692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67"/>
        <c:overlap val="-43"/>
        <c:axId val="1942801520"/>
        <c:axId val="1836020512"/>
      </c:barChart>
      <c:catAx>
        <c:axId val="19428015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836020512"/>
        <c:crosses val="autoZero"/>
        <c:auto val="1"/>
        <c:lblAlgn val="ctr"/>
        <c:lblOffset val="100"/>
        <c:noMultiLvlLbl val="0"/>
      </c:catAx>
      <c:valAx>
        <c:axId val="1836020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\ &quot;€&quot;;[Red]#,##0.00\ &quot;€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42801520"/>
        <c:crosses val="autoZero"/>
        <c:crossBetween val="between"/>
      </c:valAx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[buscarv.xlsx]gráficos!TablaDinámica4</c:name>
    <c:fmtId val="0"/>
  </c:pivotSource>
  <c:chart>
    <c:autoTitleDeleted val="0"/>
    <c:pivotFmts>
      <c:pivotFmt>
        <c:idx val="0"/>
        <c:spPr>
          <a:pattFill prst="narHorz">
            <a:fgClr>
              <a:schemeClr val="accent6"/>
            </a:fgClr>
            <a:bgClr>
              <a:schemeClr val="accent6">
                <a:lumMod val="20000"/>
                <a:lumOff val="80000"/>
              </a:schemeClr>
            </a:bgClr>
          </a:pattFill>
          <a:ln>
            <a:noFill/>
          </a:ln>
          <a:effectLst>
            <a:innerShdw blurRad="114300">
              <a:schemeClr val="accent6"/>
            </a:innerShdw>
          </a:effectLst>
        </c:spPr>
        <c:marker>
          <c:symbol val="circle"/>
          <c:size val="6"/>
          <c:spPr>
            <a:solidFill>
              <a:schemeClr val="accent6"/>
            </a:solidFill>
            <a:ln>
              <a:noFill/>
            </a:ln>
            <a:effectLst/>
          </c:spPr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gráficos!$H$8</c:f>
              <c:strCache>
                <c:ptCount val="1"/>
                <c:pt idx="0">
                  <c:v>Suma de enero</c:v>
                </c:pt>
              </c:strCache>
            </c:strRef>
          </c:tx>
          <c:spPr>
            <a:pattFill prst="narHorz">
              <a:fgClr>
                <a:schemeClr val="accent6"/>
              </a:fgClr>
              <a:bgClr>
                <a:schemeClr val="accent6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6"/>
              </a:innerShdw>
            </a:effectLst>
          </c:spPr>
          <c:invertIfNegative val="0"/>
          <c:cat>
            <c:strRef>
              <c:f>gráficos!$H$9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gráficos!$H$9</c:f>
              <c:numCache>
                <c:formatCode>General</c:formatCode>
                <c:ptCount val="1"/>
                <c:pt idx="0">
                  <c:v>930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B7C-4EDE-B794-881A2B6FB9C3}"/>
            </c:ext>
          </c:extLst>
        </c:ser>
        <c:ser>
          <c:idx val="1"/>
          <c:order val="1"/>
          <c:tx>
            <c:strRef>
              <c:f>gráficos!$I$8</c:f>
              <c:strCache>
                <c:ptCount val="1"/>
                <c:pt idx="0">
                  <c:v>Suma de febrero</c:v>
                </c:pt>
              </c:strCache>
            </c:strRef>
          </c:tx>
          <c:spPr>
            <a:pattFill prst="narHorz">
              <a:fgClr>
                <a:schemeClr val="accent5"/>
              </a:fgClr>
              <a:bgClr>
                <a:schemeClr val="accent5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5"/>
              </a:innerShdw>
            </a:effectLst>
          </c:spPr>
          <c:invertIfNegative val="0"/>
          <c:cat>
            <c:strRef>
              <c:f>gráficos!$H$9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gráficos!$I$9</c:f>
              <c:numCache>
                <c:formatCode>General</c:formatCode>
                <c:ptCount val="1"/>
                <c:pt idx="0">
                  <c:v>494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B7C-4EDE-B794-881A2B6FB9C3}"/>
            </c:ext>
          </c:extLst>
        </c:ser>
        <c:ser>
          <c:idx val="2"/>
          <c:order val="2"/>
          <c:tx>
            <c:strRef>
              <c:f>gráficos!$J$8</c:f>
              <c:strCache>
                <c:ptCount val="1"/>
                <c:pt idx="0">
                  <c:v>Suma de marzo</c:v>
                </c:pt>
              </c:strCache>
            </c:strRef>
          </c:tx>
          <c:spPr>
            <a:pattFill prst="narHorz">
              <a:fgClr>
                <a:schemeClr val="accent4"/>
              </a:fgClr>
              <a:bgClr>
                <a:schemeClr val="accent4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4"/>
              </a:innerShdw>
            </a:effectLst>
          </c:spPr>
          <c:invertIfNegative val="0"/>
          <c:cat>
            <c:strRef>
              <c:f>gráficos!$H$9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gráficos!$J$9</c:f>
              <c:numCache>
                <c:formatCode>General</c:formatCode>
                <c:ptCount val="1"/>
                <c:pt idx="0">
                  <c:v>403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B7C-4EDE-B794-881A2B6FB9C3}"/>
            </c:ext>
          </c:extLst>
        </c:ser>
        <c:ser>
          <c:idx val="3"/>
          <c:order val="3"/>
          <c:tx>
            <c:strRef>
              <c:f>gráficos!$K$8</c:f>
              <c:strCache>
                <c:ptCount val="1"/>
                <c:pt idx="0">
                  <c:v>Suma de abril</c:v>
                </c:pt>
              </c:strCache>
            </c:strRef>
          </c:tx>
          <c:spPr>
            <a:pattFill prst="narHorz">
              <a:fgClr>
                <a:schemeClr val="accent6">
                  <a:lumMod val="60000"/>
                </a:schemeClr>
              </a:fgClr>
              <a:bgClr>
                <a:schemeClr val="accent6">
                  <a:lumMod val="600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6">
                  <a:lumMod val="60000"/>
                </a:schemeClr>
              </a:innerShdw>
            </a:effectLst>
          </c:spPr>
          <c:invertIfNegative val="0"/>
          <c:cat>
            <c:strRef>
              <c:f>gráficos!$H$9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gráficos!$K$9</c:f>
              <c:numCache>
                <c:formatCode>General</c:formatCode>
                <c:ptCount val="1"/>
                <c:pt idx="0">
                  <c:v>1222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B7C-4EDE-B794-881A2B6FB9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2044015936"/>
        <c:axId val="1956839408"/>
      </c:barChart>
      <c:catAx>
        <c:axId val="20440159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56839408"/>
        <c:crosses val="autoZero"/>
        <c:auto val="1"/>
        <c:lblAlgn val="ctr"/>
        <c:lblOffset val="100"/>
        <c:noMultiLvlLbl val="0"/>
      </c:catAx>
      <c:valAx>
        <c:axId val="19568394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0440159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pattFill prst="ltDn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>
        <a:solidFill>
          <a:schemeClr val="phClr"/>
        </a:solidFill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63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587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>
      <cs:styleClr val="auto"/>
    </cs:lnRef>
    <cs:fillRef idx="0"/>
    <cs:effectRef idx="0">
      <cs:styleClr val="auto"/>
    </cs:effectRef>
    <cs:fontRef idx="minor">
      <cs:styleClr val="auto"/>
    </cs:fontRef>
    <cs:spPr>
      <a:solidFill>
        <a:schemeClr val="lt1">
          <a:alpha val="90000"/>
        </a:schemeClr>
      </a:solidFill>
      <a:ln w="12700" cap="flat" cmpd="sng" algn="ctr">
        <a:solidFill>
          <a:schemeClr val="phClr"/>
        </a:solidFill>
        <a:round/>
      </a:ln>
      <a:effectLst>
        <a:outerShdw blurRad="50800" dist="38100" dir="2700000" algn="tl" rotWithShape="0">
          <a:schemeClr val="phClr">
            <a:lumMod val="75000"/>
            <a:alpha val="40000"/>
          </a:schemeClr>
        </a:outerShdw>
      </a:effectLst>
    </cs:spPr>
    <cs:defRPr sz="1000" b="0" i="0" u="none" strike="noStrike" kern="1200" baseline="0">
      <a:effectLst/>
    </cs:defRPr>
    <cs:bodyPr rot="0" spcFirstLastPara="1" vertOverflow="clip" horzOverflow="clip" vert="horz" wrap="square" lIns="38100" tIns="19050" rIns="38100" bIns="19050" anchor="ctr" anchorCtr="1">
      <a:spAutoFit/>
    </cs:bodyPr>
  </cs:dataLabel>
  <cs:dataLabelCallout>
    <cs:lnRef idx="0">
      <cs:styleClr val="auto"/>
    </cs:lnRef>
    <cs:fillRef idx="0"/>
    <cs:effectRef idx="0">
      <cs:styleClr val="auto"/>
    </cs:effectRef>
    <cs:fontRef idx="minor">
      <cs:styleClr val="auto"/>
    </cs:fontRef>
    <cs:spPr>
      <a:solidFill>
        <a:schemeClr val="lt1">
          <a:alpha val="90000"/>
        </a:schemeClr>
      </a:solidFill>
      <a:ln w="12700" cap="flat" cmpd="sng" algn="ctr">
        <a:solidFill>
          <a:schemeClr val="phClr"/>
        </a:solidFill>
        <a:round/>
      </a:ln>
      <a:effectLst>
        <a:outerShdw blurRad="50800" dist="38100" dir="2700000" algn="tl" rotWithShape="0">
          <a:schemeClr val="phClr">
            <a:lumMod val="75000"/>
            <a:alpha val="40000"/>
          </a:schemeClr>
        </a:outerShdw>
      </a:effectLst>
    </cs:spPr>
    <cs:defRPr sz="1000" b="0" i="0" u="none" strike="noStrike" kern="1200" baseline="0">
      <a:effectLst/>
    </cs:defRPr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>
          <a:alpha val="70000"/>
        </a:schemeClr>
      </a:solidFill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tx1"/>
    </cs:fontRef>
    <cs:spPr>
      <a:solidFill>
        <a:schemeClr val="phClr">
          <a:alpha val="90000"/>
        </a:schemeClr>
      </a:solidFill>
      <a:ln w="19050">
        <a:solidFill>
          <a:schemeClr val="phClr">
            <a:lumMod val="75000"/>
          </a:schemeClr>
        </a:solidFill>
      </a:ln>
      <a:effectLst>
        <a:innerShdw blurRad="114300">
          <a:schemeClr val="phClr">
            <a:lumMod val="75000"/>
          </a:schemeClr>
        </a:innerShdw>
      </a:effectLst>
      <a:scene3d>
        <a:camera prst="orthographicFront"/>
        <a:lightRig rig="threePt" dir="t"/>
      </a:scene3d>
      <a:sp3d contourW="19050" prstMaterial="flat">
        <a:contourClr>
          <a:schemeClr val="accent4">
            <a:lumMod val="75000"/>
          </a:schemeClr>
        </a:contourClr>
      </a:sp3d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8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hyperlink" Target="#gr&#225;ficos!A1"/><Relationship Id="rId2" Type="http://schemas.openxmlformats.org/officeDocument/2006/relationships/hyperlink" Target="#'ejercicio 1'!A1"/><Relationship Id="rId1" Type="http://schemas.openxmlformats.org/officeDocument/2006/relationships/hyperlink" Target="#buscarV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375047</xdr:colOff>
      <xdr:row>11</xdr:row>
      <xdr:rowOff>185737</xdr:rowOff>
    </xdr:from>
    <xdr:to>
      <xdr:col>4</xdr:col>
      <xdr:colOff>703659</xdr:colOff>
      <xdr:row>13</xdr:row>
      <xdr:rowOff>147637</xdr:rowOff>
    </xdr:to>
    <xdr:sp macro="" textlink="">
      <xdr:nvSpPr>
        <xdr:cNvPr id="2" name="Rectángul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4992C4C-2209-4AB6-B5E1-F6CCFEF799F8}"/>
            </a:ext>
          </a:extLst>
        </xdr:cNvPr>
        <xdr:cNvSpPr/>
      </xdr:nvSpPr>
      <xdr:spPr>
        <a:xfrm>
          <a:off x="3339703" y="2412206"/>
          <a:ext cx="1316831" cy="366712"/>
        </a:xfrm>
        <a:prstGeom prst="rect">
          <a:avLst/>
        </a:prstGeom>
        <a:solidFill>
          <a:schemeClr val="accent4"/>
        </a:solidFill>
        <a:ln>
          <a:solidFill>
            <a:schemeClr val="accent4">
              <a:lumMod val="60000"/>
              <a:lumOff val="40000"/>
            </a:schemeClr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ES" sz="1100"/>
            <a:t>BuscarV</a:t>
          </a:r>
        </a:p>
      </xdr:txBody>
    </xdr:sp>
    <xdr:clientData/>
  </xdr:twoCellAnchor>
  <xdr:twoCellAnchor>
    <xdr:from>
      <xdr:col>3</xdr:col>
      <xdr:colOff>571501</xdr:colOff>
      <xdr:row>14</xdr:row>
      <xdr:rowOff>121444</xdr:rowOff>
    </xdr:from>
    <xdr:to>
      <xdr:col>4</xdr:col>
      <xdr:colOff>511969</xdr:colOff>
      <xdr:row>16</xdr:row>
      <xdr:rowOff>83344</xdr:rowOff>
    </xdr:to>
    <xdr:sp macro="" textlink="">
      <xdr:nvSpPr>
        <xdr:cNvPr id="3" name="Rectángulo 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57260105-7EF3-4721-AD2B-6CA896D918AA}"/>
            </a:ext>
          </a:extLst>
        </xdr:cNvPr>
        <xdr:cNvSpPr/>
      </xdr:nvSpPr>
      <xdr:spPr>
        <a:xfrm>
          <a:off x="3536157" y="2955132"/>
          <a:ext cx="928687" cy="366712"/>
        </a:xfrm>
        <a:prstGeom prst="rect">
          <a:avLst/>
        </a:prstGeom>
        <a:solidFill>
          <a:schemeClr val="accent4"/>
        </a:solidFill>
        <a:ln>
          <a:solidFill>
            <a:schemeClr val="accent4">
              <a:lumMod val="60000"/>
              <a:lumOff val="40000"/>
            </a:schemeClr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ES" sz="1100"/>
            <a:t>EJERCICIO</a:t>
          </a:r>
          <a:r>
            <a:rPr lang="es-ES" sz="1100" baseline="0"/>
            <a:t> 1</a:t>
          </a:r>
        </a:p>
      </xdr:txBody>
    </xdr:sp>
    <xdr:clientData/>
  </xdr:twoCellAnchor>
  <xdr:twoCellAnchor>
    <xdr:from>
      <xdr:col>5</xdr:col>
      <xdr:colOff>511969</xdr:colOff>
      <xdr:row>9</xdr:row>
      <xdr:rowOff>107157</xdr:rowOff>
    </xdr:from>
    <xdr:to>
      <xdr:col>7</xdr:col>
      <xdr:colOff>492919</xdr:colOff>
      <xdr:row>11</xdr:row>
      <xdr:rowOff>69056</xdr:rowOff>
    </xdr:to>
    <xdr:sp macro="" textlink="">
      <xdr:nvSpPr>
        <xdr:cNvPr id="5" name="Rectángulo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B2BC68B8-8FBB-4E7B-8E70-1DC8ABC74FAE}"/>
            </a:ext>
          </a:extLst>
        </xdr:cNvPr>
        <xdr:cNvSpPr/>
      </xdr:nvSpPr>
      <xdr:spPr>
        <a:xfrm>
          <a:off x="5453063" y="1928813"/>
          <a:ext cx="1957387" cy="366712"/>
        </a:xfrm>
        <a:prstGeom prst="rect">
          <a:avLst/>
        </a:prstGeom>
        <a:solidFill>
          <a:schemeClr val="accent5"/>
        </a:solidFill>
        <a:ln>
          <a:solidFill>
            <a:schemeClr val="accent5">
              <a:lumMod val="60000"/>
              <a:lumOff val="40000"/>
            </a:schemeClr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ES" sz="1100"/>
            <a:t>2 DE DICIEMBRE</a:t>
          </a:r>
          <a:endParaRPr lang="es-ES" sz="1100" baseline="0"/>
        </a:p>
      </xdr:txBody>
    </xdr:sp>
    <xdr:clientData/>
  </xdr:twoCellAnchor>
  <xdr:twoCellAnchor>
    <xdr:from>
      <xdr:col>3</xdr:col>
      <xdr:colOff>69058</xdr:colOff>
      <xdr:row>9</xdr:row>
      <xdr:rowOff>122635</xdr:rowOff>
    </xdr:from>
    <xdr:to>
      <xdr:col>5</xdr:col>
      <xdr:colOff>50007</xdr:colOff>
      <xdr:row>11</xdr:row>
      <xdr:rowOff>84534</xdr:rowOff>
    </xdr:to>
    <xdr:sp macro="" textlink="">
      <xdr:nvSpPr>
        <xdr:cNvPr id="6" name="Rectángulo 5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6CA3F99-7325-4C9A-9F46-78CF94F73579}"/>
            </a:ext>
          </a:extLst>
        </xdr:cNvPr>
        <xdr:cNvSpPr/>
      </xdr:nvSpPr>
      <xdr:spPr>
        <a:xfrm>
          <a:off x="3033714" y="1944291"/>
          <a:ext cx="1957387" cy="366712"/>
        </a:xfrm>
        <a:prstGeom prst="rect">
          <a:avLst/>
        </a:prstGeom>
        <a:solidFill>
          <a:schemeClr val="accent4"/>
        </a:solidFill>
        <a:ln>
          <a:solidFill>
            <a:schemeClr val="accent4">
              <a:lumMod val="60000"/>
              <a:lumOff val="40000"/>
            </a:schemeClr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ES" sz="1100" baseline="0"/>
            <a:t>30 DE DICIEMBRE</a:t>
          </a:r>
        </a:p>
      </xdr:txBody>
    </xdr:sp>
    <xdr:clientData/>
  </xdr:twoCellAnchor>
  <xdr:twoCellAnchor>
    <xdr:from>
      <xdr:col>5</xdr:col>
      <xdr:colOff>869157</xdr:colOff>
      <xdr:row>11</xdr:row>
      <xdr:rowOff>190499</xdr:rowOff>
    </xdr:from>
    <xdr:to>
      <xdr:col>7</xdr:col>
      <xdr:colOff>209551</xdr:colOff>
      <xdr:row>13</xdr:row>
      <xdr:rowOff>152399</xdr:rowOff>
    </xdr:to>
    <xdr:sp macro="" textlink="">
      <xdr:nvSpPr>
        <xdr:cNvPr id="8" name="Rectángulo 7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8D6E49A6-54D3-4416-B2EC-7A0C0F8DF435}"/>
            </a:ext>
          </a:extLst>
        </xdr:cNvPr>
        <xdr:cNvSpPr/>
      </xdr:nvSpPr>
      <xdr:spPr>
        <a:xfrm>
          <a:off x="5810251" y="2416968"/>
          <a:ext cx="1316831" cy="366712"/>
        </a:xfrm>
        <a:prstGeom prst="rect">
          <a:avLst/>
        </a:prstGeom>
        <a:solidFill>
          <a:schemeClr val="accent5"/>
        </a:solidFill>
        <a:ln>
          <a:solidFill>
            <a:schemeClr val="accent5">
              <a:lumMod val="60000"/>
              <a:lumOff val="40000"/>
            </a:schemeClr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ES" sz="1100"/>
            <a:t>Gráficos</a:t>
          </a:r>
        </a:p>
      </xdr:txBody>
    </xdr:sp>
    <xdr:clientData/>
  </xdr:twoCellAnchor>
  <xdr:twoCellAnchor>
    <xdr:from>
      <xdr:col>6</xdr:col>
      <xdr:colOff>51197</xdr:colOff>
      <xdr:row>14</xdr:row>
      <xdr:rowOff>136923</xdr:rowOff>
    </xdr:from>
    <xdr:to>
      <xdr:col>6</xdr:col>
      <xdr:colOff>979884</xdr:colOff>
      <xdr:row>16</xdr:row>
      <xdr:rowOff>98823</xdr:rowOff>
    </xdr:to>
    <xdr:sp macro="" textlink="">
      <xdr:nvSpPr>
        <xdr:cNvPr id="11" name="Rectángulo 10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F507CB0D-EDA1-4C79-AA96-329F09520228}"/>
            </a:ext>
          </a:extLst>
        </xdr:cNvPr>
        <xdr:cNvSpPr/>
      </xdr:nvSpPr>
      <xdr:spPr>
        <a:xfrm>
          <a:off x="5980510" y="2970611"/>
          <a:ext cx="928687" cy="366712"/>
        </a:xfrm>
        <a:prstGeom prst="rect">
          <a:avLst/>
        </a:prstGeom>
        <a:solidFill>
          <a:schemeClr val="accent5"/>
        </a:solidFill>
        <a:ln>
          <a:solidFill>
            <a:schemeClr val="accent5">
              <a:lumMod val="60000"/>
              <a:lumOff val="40000"/>
            </a:schemeClr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ES" sz="1100"/>
            <a:t>EJERCICIO</a:t>
          </a:r>
          <a:r>
            <a:rPr lang="es-ES" sz="1100" baseline="0"/>
            <a:t> 1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936076</xdr:colOff>
      <xdr:row>10</xdr:row>
      <xdr:rowOff>183929</xdr:rowOff>
    </xdr:from>
    <xdr:to>
      <xdr:col>3</xdr:col>
      <xdr:colOff>518948</xdr:colOff>
      <xdr:row>25</xdr:row>
      <xdr:rowOff>45983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224B3D3-9BD1-4713-BC87-038359D3D0F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597778</xdr:colOff>
      <xdr:row>10</xdr:row>
      <xdr:rowOff>177363</xdr:rowOff>
    </xdr:from>
    <xdr:to>
      <xdr:col>5</xdr:col>
      <xdr:colOff>939362</xdr:colOff>
      <xdr:row>25</xdr:row>
      <xdr:rowOff>59121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697588D-AC74-419A-B6E8-3A8152D434A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904199</xdr:colOff>
      <xdr:row>26</xdr:row>
      <xdr:rowOff>25656</xdr:rowOff>
    </xdr:from>
    <xdr:to>
      <xdr:col>5</xdr:col>
      <xdr:colOff>952500</xdr:colOff>
      <xdr:row>40</xdr:row>
      <xdr:rowOff>179294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A43A096-8631-4BD8-82D9-F16F71279D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946895</xdr:colOff>
      <xdr:row>10</xdr:row>
      <xdr:rowOff>168088</xdr:rowOff>
    </xdr:from>
    <xdr:to>
      <xdr:col>11</xdr:col>
      <xdr:colOff>78441</xdr:colOff>
      <xdr:row>41</xdr:row>
      <xdr:rowOff>22412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2F1CBD4E-A73F-4218-B09E-B993E1CAD2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FP" refreshedDate="45628.388513310187" backgroundQuery="1" createdVersion="6" refreshedVersion="6" minRefreshableVersion="3" recordCount="0" supportSubquery="1" supportAdvancedDrill="1" xr:uid="{477C061B-19F7-4DB1-9ED9-1E87A5200B78}">
  <cacheSource type="external" connectionId="1"/>
  <cacheFields count="4">
    <cacheField name="[Measures].[Suma de enero]" caption="Suma de enero" numFmtId="0" hierarchy="6" level="32767"/>
    <cacheField name="[Measures].[Suma de febrero]" caption="Suma de febrero" numFmtId="0" hierarchy="7" level="32767"/>
    <cacheField name="[Measures].[Suma de marzo]" caption="Suma de marzo" numFmtId="0" hierarchy="8" level="32767"/>
    <cacheField name="[Measures].[Suma de abril]" caption="Suma de abril" numFmtId="0" hierarchy="9" level="32767"/>
  </cacheFields>
  <cacheHierarchies count="10">
    <cacheHierarchy uniqueName="[Rango].[enero]" caption="enero" attribute="1" defaultMemberUniqueName="[Rango].[enero].[All]" allUniqueName="[Rango].[enero].[All]" dimensionUniqueName="[Rango]" displayFolder="" count="0" memberValueDatatype="20" unbalanced="0"/>
    <cacheHierarchy uniqueName="[Rango].[febrero]" caption="febrero" attribute="1" defaultMemberUniqueName="[Rango].[febrero].[All]" allUniqueName="[Rango].[febrero].[All]" dimensionUniqueName="[Rango]" displayFolder="" count="0" memberValueDatatype="20" unbalanced="0"/>
    <cacheHierarchy uniqueName="[Rango].[marzo]" caption="marzo" attribute="1" defaultMemberUniqueName="[Rango].[marzo].[All]" allUniqueName="[Rango].[marzo].[All]" dimensionUniqueName="[Rango]" displayFolder="" count="0" memberValueDatatype="20" unbalanced="0"/>
    <cacheHierarchy uniqueName="[Rango].[abril]" caption="abril" attribute="1" defaultMemberUniqueName="[Rango].[abril].[All]" allUniqueName="[Rango].[abril].[All]" dimensionUniqueName="[Rango]" displayFolder="" count="0" memberValueDatatype="20" unbalanced="0"/>
    <cacheHierarchy uniqueName="[Measures].[__XL_Count Rango]" caption="__XL_Count Rango" measure="1" displayFolder="" measureGroup="Rango" count="0" hidden="1"/>
    <cacheHierarchy uniqueName="[Measures].[__No measures defined]" caption="__No measures defined" measure="1" displayFolder="" count="0" hidden="1"/>
    <cacheHierarchy uniqueName="[Measures].[Suma de enero]" caption="Suma de enero" measure="1" displayFolder="" measureGroup="Rango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febrero]" caption="Suma de febrero" measure="1" displayFolder="" measureGroup="Rango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marzo]" caption="Suma de marzo" measure="1" displayFolder="" measureGroup="Rango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abril]" caption="Suma de abril" measure="1" displayFolder="" measureGroup="Rango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2">
    <dimension measure="1" name="Measures" uniqueName="[Measures]" caption="Measures"/>
    <dimension name="Rango" uniqueName="[Rango]" caption="Rango"/>
  </dimensions>
  <measureGroups count="1">
    <measureGroup name="Rango" caption="Rango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F192066-03ED-4ACB-997B-4D39A9E47C78}" name="TablaDinámica4" cacheId="23" applyNumberFormats="0" applyBorderFormats="0" applyFontFormats="0" applyPatternFormats="0" applyAlignmentFormats="0" applyWidthHeightFormats="1" dataCaption="Valores" updatedVersion="6" minRefreshableVersion="3" useAutoFormatting="1" subtotalHiddenItems="1" itemPrintTitles="1" createdVersion="6" indent="0" outline="1" outlineData="1" multipleFieldFilters="0" chartFormat="1">
  <location ref="H8:K9" firstHeaderRow="0" firstDataRow="1" firstDataCol="0"/>
  <pivotFields count="4"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Items count="1">
    <i/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Suma de enero" fld="0" baseField="0" baseItem="0"/>
    <dataField name="Suma de febrero" fld="1" baseField="0" baseItem="0"/>
    <dataField name="Suma de marzo" fld="2" baseField="0" baseItem="0"/>
    <dataField name="Suma de abril" fld="3" baseField="0" baseItem="0"/>
  </dataField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3" series="1">
      <pivotArea type="data" outline="0" fieldPosition="0">
        <references count="1">
          <reference field="4294967294" count="1" selected="0">
            <x v="3"/>
          </reference>
        </references>
      </pivotArea>
    </chartFormat>
  </chartFormats>
  <pivotHierarchies count="10"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</pivotHierarchies>
  <pivotTableStyleInfo name="PivotStyleLight14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gráficos!$C$7:$F$10">
        <x15:activeTabTopLevelEntity name="[Rango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Recorte">
  <a:themeElements>
    <a:clrScheme name="Recorte">
      <a:dk1>
        <a:sysClr val="windowText" lastClr="000000"/>
      </a:dk1>
      <a:lt1>
        <a:sysClr val="window" lastClr="FFFFFF"/>
      </a:lt1>
      <a:dk2>
        <a:srgbClr val="191B0E"/>
      </a:dk2>
      <a:lt2>
        <a:srgbClr val="EFEDE3"/>
      </a:lt2>
      <a:accent1>
        <a:srgbClr val="8C8D86"/>
      </a:accent1>
      <a:accent2>
        <a:srgbClr val="E6C069"/>
      </a:accent2>
      <a:accent3>
        <a:srgbClr val="897B61"/>
      </a:accent3>
      <a:accent4>
        <a:srgbClr val="8DAB8E"/>
      </a:accent4>
      <a:accent5>
        <a:srgbClr val="77A2BB"/>
      </a:accent5>
      <a:accent6>
        <a:srgbClr val="E28394"/>
      </a:accent6>
      <a:hlink>
        <a:srgbClr val="77A2BB"/>
      </a:hlink>
      <a:folHlink>
        <a:srgbClr val="957A99"/>
      </a:folHlink>
    </a:clrScheme>
    <a:fontScheme name="Recorte">
      <a:majorFont>
        <a:latin typeface="Franklin Gothic Book" panose="020B0503020102020204"/>
        <a:ea typeface=""/>
        <a:cs typeface=""/>
        <a:font script="Jpan" typeface="メイリオ"/>
        <a:font script="Hang" typeface="돋움"/>
        <a:font script="Hans" typeface="华文楷体"/>
        <a:font script="Hant" typeface="微軟正黑體"/>
        <a:font script="Arab" typeface="Tahoma"/>
        <a:font script="Hebr" typeface="Aharoni"/>
        <a:font script="Thai" typeface="Lily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Franklin Gothic Book" panose="020B0503020102020204"/>
        <a:ea typeface=""/>
        <a:cs typeface=""/>
        <a:font script="Jpan" typeface="メイリオ"/>
        <a:font script="Hang" typeface="돋움"/>
        <a:font script="Hans" typeface="华文楷体"/>
        <a:font script="Hant" typeface="微軟正黑體"/>
        <a:font script="Arab" typeface="Tahoma"/>
        <a:font script="Hebr" typeface="Aharoni"/>
        <a:font script="Thai" typeface="Lily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Recort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satMod val="105000"/>
                <a:lumMod val="110000"/>
              </a:schemeClr>
            </a:gs>
            <a:gs pos="50000">
              <a:schemeClr val="phClr">
                <a:tint val="73000"/>
                <a:satMod val="103000"/>
                <a:lumMod val="105000"/>
              </a:schemeClr>
            </a:gs>
            <a:gs pos="100000">
              <a:schemeClr val="phClr">
                <a:tint val="81000"/>
                <a:satMod val="109000"/>
                <a:lumMod val="105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8000"/>
                <a:satMod val="120000"/>
                <a:lumMod val="99000"/>
              </a:schemeClr>
            </a:gs>
          </a:gsLst>
          <a:lin ang="5400000" scaled="0"/>
        </a:gradFill>
      </a:fillStyleLst>
      <a:lnStyleLst>
        <a:ln w="6350" cap="flat" cmpd="sng" algn="in">
          <a:solidFill>
            <a:schemeClr val="phClr"/>
          </a:solidFill>
          <a:prstDash val="solid"/>
        </a:ln>
        <a:ln w="34925" cap="flat" cmpd="sng" algn="in">
          <a:solidFill>
            <a:schemeClr val="phClr"/>
          </a:solidFill>
          <a:prstDash val="solid"/>
        </a:ln>
        <a:ln w="19050" cap="flat" cmpd="sng" algn="in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Crop" id="{EC9488ED-E761-4D60-9AC4-764D1FE2C171}" vid="{CE19780C-D67D-4C13-9DE9-A52BC3BA51B4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A10F8-0EF7-48EA-90FF-9F055AACE164}">
  <sheetPr>
    <tabColor theme="5"/>
  </sheetPr>
  <dimension ref="A1"/>
  <sheetViews>
    <sheetView showGridLines="0" topLeftCell="C7" zoomScale="160" zoomScaleNormal="160" workbookViewId="0">
      <selection activeCell="G20" sqref="G20"/>
    </sheetView>
  </sheetViews>
  <sheetFormatPr baseColWidth="10" defaultRowHeight="15.75" x14ac:dyDescent="0.3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23818-B6ED-44AC-94D2-38D3ED959FDE}">
  <sheetPr>
    <tabColor theme="7"/>
  </sheetPr>
  <dimension ref="B4:K15"/>
  <sheetViews>
    <sheetView showGridLines="0" zoomScale="115" zoomScaleNormal="115" workbookViewId="0"/>
  </sheetViews>
  <sheetFormatPr baseColWidth="10" defaultRowHeight="15.75" x14ac:dyDescent="0.3"/>
  <cols>
    <col min="1" max="1" width="2.88671875" style="2" customWidth="1"/>
    <col min="2" max="2" width="12" style="2" customWidth="1"/>
    <col min="3" max="3" width="8.109375" style="2" customWidth="1"/>
    <col min="4" max="4" width="11.5546875" style="2" customWidth="1"/>
    <col min="5" max="5" width="5.44140625" style="2" customWidth="1"/>
    <col min="6" max="16384" width="11.5546875" style="2"/>
  </cols>
  <sheetData>
    <row r="4" spans="2:11" x14ac:dyDescent="0.3">
      <c r="B4" s="1" t="s">
        <v>0</v>
      </c>
    </row>
    <row r="7" spans="2:11" x14ac:dyDescent="0.3">
      <c r="B7" s="3" t="s">
        <v>1</v>
      </c>
      <c r="C7" s="3" t="s">
        <v>2</v>
      </c>
      <c r="D7" s="3" t="s">
        <v>3</v>
      </c>
      <c r="E7" s="3" t="s">
        <v>4</v>
      </c>
      <c r="F7" s="3" t="s">
        <v>19</v>
      </c>
    </row>
    <row r="8" spans="2:11" x14ac:dyDescent="0.3">
      <c r="B8" s="8" t="s">
        <v>5</v>
      </c>
      <c r="C8" s="8" t="s">
        <v>6</v>
      </c>
      <c r="D8" s="9" t="str">
        <f t="shared" ref="D8:E15" si="0">VLOOKUP(C8,H$10:J$13,2,FALSE)</f>
        <v>DOMINGOS</v>
      </c>
      <c r="E8" s="9">
        <f t="shared" si="0"/>
        <v>100</v>
      </c>
      <c r="F8" s="9" t="str">
        <f>VLOOKUP(C8,H$10:K$13,4,FALSE)</f>
        <v>ESP</v>
      </c>
    </row>
    <row r="9" spans="2:11" x14ac:dyDescent="0.3">
      <c r="B9" s="8" t="s">
        <v>7</v>
      </c>
      <c r="C9" s="8" t="s">
        <v>14</v>
      </c>
      <c r="D9" s="9" t="str">
        <f t="shared" si="0"/>
        <v>VIERNES</v>
      </c>
      <c r="E9" s="9">
        <f t="shared" si="0"/>
        <v>150</v>
      </c>
      <c r="F9" s="9" t="str">
        <f t="shared" ref="F9:F15" si="1">VLOOKUP(C9,H$10:K$13,4,FALSE)</f>
        <v>EN</v>
      </c>
      <c r="H9" s="13" t="s">
        <v>15</v>
      </c>
      <c r="I9" s="13"/>
      <c r="J9" s="13"/>
      <c r="K9" s="13"/>
    </row>
    <row r="10" spans="2:11" x14ac:dyDescent="0.3">
      <c r="B10" s="8" t="s">
        <v>8</v>
      </c>
      <c r="C10" s="8" t="s">
        <v>13</v>
      </c>
      <c r="D10" s="9" t="str">
        <f t="shared" si="0"/>
        <v>SABADOS</v>
      </c>
      <c r="E10" s="9">
        <f t="shared" si="0"/>
        <v>200</v>
      </c>
      <c r="F10" s="9" t="str">
        <f t="shared" si="1"/>
        <v>CH</v>
      </c>
      <c r="H10" s="7" t="s">
        <v>2</v>
      </c>
      <c r="I10" s="7" t="s">
        <v>3</v>
      </c>
      <c r="J10" s="7" t="s">
        <v>4</v>
      </c>
      <c r="K10" s="7" t="s">
        <v>19</v>
      </c>
    </row>
    <row r="11" spans="2:11" x14ac:dyDescent="0.3">
      <c r="B11" s="8" t="s">
        <v>5</v>
      </c>
      <c r="C11" s="8" t="s">
        <v>6</v>
      </c>
      <c r="D11" s="9" t="str">
        <f t="shared" si="0"/>
        <v>DOMINGOS</v>
      </c>
      <c r="E11" s="9">
        <f t="shared" si="0"/>
        <v>100</v>
      </c>
      <c r="F11" s="9" t="str">
        <f t="shared" si="1"/>
        <v>ESP</v>
      </c>
      <c r="H11" s="6" t="s">
        <v>6</v>
      </c>
      <c r="I11" s="6" t="s">
        <v>18</v>
      </c>
      <c r="J11" s="6">
        <v>100</v>
      </c>
      <c r="K11" s="6" t="s">
        <v>20</v>
      </c>
    </row>
    <row r="12" spans="2:11" x14ac:dyDescent="0.3">
      <c r="B12" s="8" t="s">
        <v>9</v>
      </c>
      <c r="C12" s="8" t="s">
        <v>14</v>
      </c>
      <c r="D12" s="9" t="str">
        <f t="shared" si="0"/>
        <v>VIERNES</v>
      </c>
      <c r="E12" s="9">
        <f t="shared" si="0"/>
        <v>150</v>
      </c>
      <c r="F12" s="9" t="str">
        <f t="shared" si="1"/>
        <v>EN</v>
      </c>
      <c r="H12" s="6" t="s">
        <v>14</v>
      </c>
      <c r="I12" s="6" t="s">
        <v>16</v>
      </c>
      <c r="J12" s="6">
        <v>150</v>
      </c>
      <c r="K12" s="6" t="s">
        <v>22</v>
      </c>
    </row>
    <row r="13" spans="2:11" x14ac:dyDescent="0.3">
      <c r="B13" s="8" t="s">
        <v>10</v>
      </c>
      <c r="C13" s="8" t="s">
        <v>14</v>
      </c>
      <c r="D13" s="9" t="str">
        <f t="shared" si="0"/>
        <v>VIERNES</v>
      </c>
      <c r="E13" s="9">
        <f t="shared" si="0"/>
        <v>150</v>
      </c>
      <c r="F13" s="9" t="str">
        <f t="shared" si="1"/>
        <v>EN</v>
      </c>
      <c r="H13" s="6" t="s">
        <v>13</v>
      </c>
      <c r="I13" s="6" t="s">
        <v>17</v>
      </c>
      <c r="J13" s="6">
        <v>200</v>
      </c>
      <c r="K13" s="6" t="s">
        <v>21</v>
      </c>
    </row>
    <row r="14" spans="2:11" x14ac:dyDescent="0.3">
      <c r="B14" s="8" t="s">
        <v>11</v>
      </c>
      <c r="C14" s="8" t="s">
        <v>13</v>
      </c>
      <c r="D14" s="9" t="str">
        <f t="shared" si="0"/>
        <v>SABADOS</v>
      </c>
      <c r="E14" s="9">
        <f t="shared" si="0"/>
        <v>200</v>
      </c>
      <c r="F14" s="9" t="str">
        <f t="shared" si="1"/>
        <v>CH</v>
      </c>
    </row>
    <row r="15" spans="2:11" x14ac:dyDescent="0.3">
      <c r="B15" s="8" t="s">
        <v>12</v>
      </c>
      <c r="C15" s="8" t="s">
        <v>6</v>
      </c>
      <c r="D15" s="9" t="str">
        <f t="shared" si="0"/>
        <v>DOMINGOS</v>
      </c>
      <c r="E15" s="9">
        <f t="shared" si="0"/>
        <v>100</v>
      </c>
      <c r="F15" s="9" t="str">
        <f t="shared" si="1"/>
        <v>ESP</v>
      </c>
    </row>
  </sheetData>
  <mergeCells count="1">
    <mergeCell ref="H9:K9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A00BF3-495E-4AE2-BE63-996D3EABD072}">
  <sheetPr>
    <tabColor theme="7"/>
  </sheetPr>
  <dimension ref="B4:K25"/>
  <sheetViews>
    <sheetView showGridLines="0" zoomScale="130" zoomScaleNormal="130" workbookViewId="0">
      <selection activeCell="H20" sqref="H20"/>
    </sheetView>
  </sheetViews>
  <sheetFormatPr baseColWidth="10" defaultRowHeight="15.75" x14ac:dyDescent="0.3"/>
  <cols>
    <col min="1" max="1" width="3.109375" style="2" customWidth="1"/>
    <col min="2" max="2" width="12.88671875" style="2" customWidth="1"/>
    <col min="3" max="3" width="11.33203125" style="2" customWidth="1"/>
    <col min="4" max="4" width="10.6640625" style="2" customWidth="1"/>
    <col min="5" max="5" width="23.88671875" style="2" customWidth="1"/>
    <col min="6" max="6" width="11.77734375" style="2" customWidth="1"/>
    <col min="7" max="10" width="11.5546875" style="2"/>
    <col min="11" max="11" width="17.33203125" style="2" customWidth="1"/>
    <col min="12" max="12" width="11.77734375" style="2" customWidth="1"/>
    <col min="13" max="16384" width="11.5546875" style="2"/>
  </cols>
  <sheetData>
    <row r="4" spans="2:11" x14ac:dyDescent="0.3">
      <c r="B4" s="1"/>
    </row>
    <row r="7" spans="2:11" x14ac:dyDescent="0.3">
      <c r="B7" s="3" t="s">
        <v>23</v>
      </c>
      <c r="C7" s="3" t="s">
        <v>24</v>
      </c>
      <c r="D7" s="3" t="s">
        <v>25</v>
      </c>
      <c r="E7" s="3" t="s">
        <v>26</v>
      </c>
      <c r="F7" s="3" t="s">
        <v>27</v>
      </c>
    </row>
    <row r="8" spans="2:11" x14ac:dyDescent="0.3">
      <c r="B8" s="10" t="s">
        <v>28</v>
      </c>
      <c r="C8" s="10" t="s">
        <v>33</v>
      </c>
      <c r="D8" s="10" t="s">
        <v>41</v>
      </c>
      <c r="E8" s="11">
        <v>43446</v>
      </c>
      <c r="F8" s="12">
        <v>40000</v>
      </c>
    </row>
    <row r="9" spans="2:11" x14ac:dyDescent="0.3">
      <c r="B9" s="10" t="s">
        <v>29</v>
      </c>
      <c r="C9" s="10" t="s">
        <v>34</v>
      </c>
      <c r="D9" s="10" t="s">
        <v>40</v>
      </c>
      <c r="E9" s="11">
        <v>42261</v>
      </c>
      <c r="F9" s="12">
        <v>20000</v>
      </c>
    </row>
    <row r="10" spans="2:11" x14ac:dyDescent="0.3">
      <c r="B10" s="10" t="s">
        <v>30</v>
      </c>
      <c r="C10" s="10" t="s">
        <v>35</v>
      </c>
      <c r="D10" s="10" t="s">
        <v>39</v>
      </c>
      <c r="E10" s="11">
        <v>42705</v>
      </c>
      <c r="F10" s="12">
        <v>18000</v>
      </c>
    </row>
    <row r="11" spans="2:11" x14ac:dyDescent="0.3">
      <c r="B11" s="10" t="s">
        <v>31</v>
      </c>
      <c r="C11" s="10" t="s">
        <v>36</v>
      </c>
      <c r="D11" s="10" t="s">
        <v>38</v>
      </c>
      <c r="E11" s="11">
        <v>42552</v>
      </c>
      <c r="F11" s="12">
        <v>15000</v>
      </c>
    </row>
    <row r="12" spans="2:11" x14ac:dyDescent="0.3">
      <c r="B12" s="10" t="s">
        <v>32</v>
      </c>
      <c r="C12" s="10" t="s">
        <v>37</v>
      </c>
      <c r="D12" s="10" t="s">
        <v>38</v>
      </c>
      <c r="E12" s="11">
        <v>43873</v>
      </c>
      <c r="F12" s="12">
        <v>15000</v>
      </c>
    </row>
    <row r="13" spans="2:11" x14ac:dyDescent="0.3">
      <c r="B13"/>
      <c r="C13"/>
      <c r="H13"/>
      <c r="I13"/>
      <c r="J13"/>
      <c r="K13"/>
    </row>
    <row r="14" spans="2:11" x14ac:dyDescent="0.3">
      <c r="B14" s="3" t="s">
        <v>23</v>
      </c>
      <c r="C14" s="3" t="s">
        <v>24</v>
      </c>
      <c r="D14" s="3" t="s">
        <v>25</v>
      </c>
      <c r="E14" s="3" t="s">
        <v>26</v>
      </c>
      <c r="F14" s="3" t="s">
        <v>27</v>
      </c>
    </row>
    <row r="15" spans="2:11" x14ac:dyDescent="0.3">
      <c r="B15" s="4" t="str">
        <f>HLOOKUP(B8,B8:F$12,1,FALSE)</f>
        <v>Juan</v>
      </c>
      <c r="C15" s="4" t="str">
        <f>HLOOKUP(C8,C8:G$12,1,FALSE)</f>
        <v>Laporta</v>
      </c>
      <c r="D15" s="4" t="str">
        <f>HLOOKUP(D8,D8:H$12,1,FALSE)</f>
        <v>Presidente</v>
      </c>
      <c r="E15" s="4">
        <f>HLOOKUP(E8,E8:I$12,1,FALSE)</f>
        <v>43446</v>
      </c>
      <c r="F15" s="5">
        <f>HLOOKUP(F8,F8:J$12,1,FALSE)</f>
        <v>40000</v>
      </c>
    </row>
    <row r="16" spans="2:11" x14ac:dyDescent="0.3">
      <c r="B16" s="4" t="str">
        <f>HLOOKUP(B9,B9:F$12,1,FALSE)</f>
        <v>Jesús</v>
      </c>
      <c r="C16" s="4" t="str">
        <f>HLOOKUP(C9,C9:G$12,1,FALSE)</f>
        <v>Vázquez</v>
      </c>
      <c r="D16" s="4" t="str">
        <f>HLOOKUP(D9,D9:H$12,1,FALSE)</f>
        <v>Comercial</v>
      </c>
      <c r="E16" s="4">
        <f>HLOOKUP(E9,E9:I$12,1,FALSE)</f>
        <v>42261</v>
      </c>
      <c r="F16" s="5">
        <f>HLOOKUP(F9,F9:J$12,1,FALSE)</f>
        <v>20000</v>
      </c>
    </row>
    <row r="17" spans="2:6" x14ac:dyDescent="0.3">
      <c r="B17" s="4" t="str">
        <f>HLOOKUP(B10,B10:F$12,1,FALSE)</f>
        <v>Rosalía</v>
      </c>
      <c r="C17" s="4" t="str">
        <f>HLOOKUP(C10,C10:G$12,1,FALSE)</f>
        <v>Vila</v>
      </c>
      <c r="D17" s="4" t="str">
        <f>HLOOKUP(D10,D10:H$12,1,FALSE)</f>
        <v>Marketing</v>
      </c>
      <c r="E17" s="4">
        <f>HLOOKUP(E10,E10:I$12,1,FALSE)</f>
        <v>42705</v>
      </c>
      <c r="F17" s="5">
        <f>HLOOKUP(F10,F10:J$12,1,FALSE)</f>
        <v>18000</v>
      </c>
    </row>
    <row r="18" spans="2:6" x14ac:dyDescent="0.3">
      <c r="B18" s="4" t="str">
        <f>HLOOKUP(B11,B11:F$12,1,FALSE)</f>
        <v>Leo</v>
      </c>
      <c r="C18" s="4" t="str">
        <f>HLOOKUP(C11,C11:G$12,1,FALSE)</f>
        <v>Messi</v>
      </c>
      <c r="D18" s="4" t="str">
        <f>HLOOKUP(D11,D11:H$12,1,FALSE)</f>
        <v>Operario</v>
      </c>
      <c r="E18" s="4">
        <f>HLOOKUP(E11,E11:I$12,1,FALSE)</f>
        <v>42552</v>
      </c>
      <c r="F18" s="5">
        <f>HLOOKUP(F11,F11:J$12,1,FALSE)</f>
        <v>15000</v>
      </c>
    </row>
    <row r="19" spans="2:6" x14ac:dyDescent="0.3">
      <c r="B19" s="4" t="str">
        <f>HLOOKUP(B12,B12:F$12,1,FALSE)</f>
        <v>Cristiano</v>
      </c>
      <c r="C19" s="4" t="str">
        <f>HLOOKUP(C12,C12:G$12,1,FALSE)</f>
        <v>Ronaldo</v>
      </c>
      <c r="D19" s="4" t="str">
        <f>HLOOKUP(D12,D12:H$12,1,FALSE)</f>
        <v>Operario</v>
      </c>
      <c r="E19" s="4">
        <f>HLOOKUP(E12,E12:I$12,1,FALSE)</f>
        <v>43873</v>
      </c>
      <c r="F19" s="5">
        <f>HLOOKUP(F12,F12:J$12,1,FALSE)</f>
        <v>15000</v>
      </c>
    </row>
    <row r="21" spans="2:6" x14ac:dyDescent="0.3">
      <c r="B21"/>
      <c r="C21"/>
      <c r="D21"/>
      <c r="E21"/>
      <c r="F21"/>
    </row>
    <row r="22" spans="2:6" x14ac:dyDescent="0.3">
      <c r="B22"/>
      <c r="C22"/>
      <c r="D22"/>
      <c r="E22"/>
      <c r="F22"/>
    </row>
    <row r="23" spans="2:6" x14ac:dyDescent="0.3">
      <c r="B23"/>
      <c r="C23"/>
      <c r="D23"/>
      <c r="E23"/>
      <c r="F23"/>
    </row>
    <row r="24" spans="2:6" x14ac:dyDescent="0.3">
      <c r="B24"/>
      <c r="C24"/>
      <c r="D24"/>
      <c r="E24"/>
      <c r="F24"/>
    </row>
    <row r="25" spans="2:6" x14ac:dyDescent="0.3">
      <c r="B25"/>
      <c r="C25"/>
      <c r="D25"/>
      <c r="E25"/>
      <c r="F25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1CCAE-E243-4129-8CB3-F526ACF411F4}">
  <sheetPr>
    <tabColor theme="8"/>
  </sheetPr>
  <dimension ref="B7:K24"/>
  <sheetViews>
    <sheetView showGridLines="0" tabSelected="1" topLeftCell="A4" zoomScale="85" zoomScaleNormal="85" workbookViewId="0">
      <selection activeCell="M19" sqref="M19"/>
    </sheetView>
  </sheetViews>
  <sheetFormatPr baseColWidth="10" defaultRowHeight="15.75" x14ac:dyDescent="0.3"/>
  <cols>
    <col min="1" max="7" width="11.5546875" style="14"/>
    <col min="8" max="8" width="13.33203125" style="14" bestFit="1" customWidth="1"/>
    <col min="9" max="9" width="14.6640625" style="14" bestFit="1" customWidth="1"/>
    <col min="10" max="10" width="13.5546875" style="14" bestFit="1" customWidth="1"/>
    <col min="11" max="11" width="12.21875" style="14" bestFit="1" customWidth="1"/>
    <col min="12" max="16384" width="11.5546875" style="14"/>
  </cols>
  <sheetData>
    <row r="7" spans="2:11" x14ac:dyDescent="0.3">
      <c r="C7" s="3" t="s">
        <v>42</v>
      </c>
      <c r="D7" s="3" t="s">
        <v>46</v>
      </c>
      <c r="E7" s="3" t="s">
        <v>47</v>
      </c>
      <c r="F7" s="3" t="s">
        <v>48</v>
      </c>
      <c r="H7"/>
      <c r="I7"/>
      <c r="J7"/>
    </row>
    <row r="8" spans="2:11" x14ac:dyDescent="0.3">
      <c r="B8" s="3" t="s">
        <v>43</v>
      </c>
      <c r="C8" s="15">
        <v>30</v>
      </c>
      <c r="D8" s="15">
        <v>350</v>
      </c>
      <c r="E8" s="15">
        <v>250</v>
      </c>
      <c r="F8" s="15">
        <v>300</v>
      </c>
      <c r="H8" t="s">
        <v>49</v>
      </c>
      <c r="I8" t="s">
        <v>50</v>
      </c>
      <c r="J8" t="s">
        <v>51</v>
      </c>
      <c r="K8" t="s">
        <v>52</v>
      </c>
    </row>
    <row r="9" spans="2:11" x14ac:dyDescent="0.3">
      <c r="B9" s="3" t="s">
        <v>44</v>
      </c>
      <c r="C9" s="15">
        <v>100</v>
      </c>
      <c r="D9" s="15">
        <v>59</v>
      </c>
      <c r="E9" s="15">
        <v>63</v>
      </c>
      <c r="F9" s="15">
        <v>22</v>
      </c>
      <c r="H9" s="16">
        <v>930</v>
      </c>
      <c r="I9" s="16">
        <v>494</v>
      </c>
      <c r="J9" s="16">
        <v>403</v>
      </c>
      <c r="K9" s="16">
        <v>1222</v>
      </c>
    </row>
    <row r="10" spans="2:11" x14ac:dyDescent="0.3">
      <c r="B10" s="3" t="s">
        <v>45</v>
      </c>
      <c r="C10" s="15">
        <v>800</v>
      </c>
      <c r="D10" s="15">
        <v>85</v>
      </c>
      <c r="E10" s="15">
        <v>90</v>
      </c>
      <c r="F10" s="15">
        <v>900</v>
      </c>
      <c r="H10"/>
      <c r="I10"/>
      <c r="J10"/>
    </row>
    <row r="11" spans="2:11" x14ac:dyDescent="0.3">
      <c r="H11"/>
      <c r="I11"/>
      <c r="J11"/>
    </row>
    <row r="12" spans="2:11" x14ac:dyDescent="0.3">
      <c r="H12"/>
      <c r="I12"/>
      <c r="J12"/>
    </row>
    <row r="13" spans="2:11" x14ac:dyDescent="0.3">
      <c r="H13"/>
      <c r="I13"/>
      <c r="J13"/>
    </row>
    <row r="14" spans="2:11" x14ac:dyDescent="0.3">
      <c r="H14"/>
      <c r="I14"/>
      <c r="J14"/>
    </row>
    <row r="15" spans="2:11" x14ac:dyDescent="0.3">
      <c r="H15"/>
      <c r="I15"/>
      <c r="J15"/>
    </row>
    <row r="16" spans="2:11" x14ac:dyDescent="0.3">
      <c r="H16"/>
      <c r="I16"/>
      <c r="J16"/>
    </row>
    <row r="17" spans="8:10" x14ac:dyDescent="0.3">
      <c r="H17"/>
      <c r="I17"/>
      <c r="J17"/>
    </row>
    <row r="18" spans="8:10" x14ac:dyDescent="0.3">
      <c r="H18"/>
      <c r="I18"/>
      <c r="J18"/>
    </row>
    <row r="19" spans="8:10" x14ac:dyDescent="0.3">
      <c r="H19"/>
      <c r="I19"/>
      <c r="J19"/>
    </row>
    <row r="20" spans="8:10" x14ac:dyDescent="0.3">
      <c r="H20"/>
      <c r="I20"/>
      <c r="J20"/>
    </row>
    <row r="21" spans="8:10" x14ac:dyDescent="0.3">
      <c r="H21"/>
      <c r="I21"/>
      <c r="J21"/>
    </row>
    <row r="22" spans="8:10" x14ac:dyDescent="0.3">
      <c r="H22"/>
      <c r="I22"/>
      <c r="J22"/>
    </row>
    <row r="23" spans="8:10" x14ac:dyDescent="0.3">
      <c r="H23"/>
      <c r="I23"/>
      <c r="J23"/>
    </row>
    <row r="24" spans="8:10" x14ac:dyDescent="0.3">
      <c r="H24"/>
      <c r="I24"/>
      <c r="J24"/>
    </row>
  </sheetData>
  <pageMargins left="0.7" right="0.7" top="0.75" bottom="0.75" header="0.3" footer="0.3"/>
  <pageSetup paperSize="9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Menú</vt:lpstr>
      <vt:lpstr>buscarV</vt:lpstr>
      <vt:lpstr>ejercicio 1</vt:lpstr>
      <vt:lpstr>gráficos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FP</dc:creator>
  <cp:lastModifiedBy>FP</cp:lastModifiedBy>
  <dcterms:created xsi:type="dcterms:W3CDTF">2024-11-27T09:21:51Z</dcterms:created>
  <dcterms:modified xsi:type="dcterms:W3CDTF">2024-12-02T09:33:38Z</dcterms:modified>
</cp:coreProperties>
</file>