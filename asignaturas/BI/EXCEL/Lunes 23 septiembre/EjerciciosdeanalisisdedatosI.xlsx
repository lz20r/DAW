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Ejercicio 1"/>
    <sheet r:id="rId2" sheetId="2" name="Ejejercicio 2"/>
    <sheet r:id="rId3" sheetId="3" name="Ejericcio 3"/>
  </sheets>
  <calcPr fullCalcOnLoad="1"/>
</workbook>
</file>

<file path=xl/sharedStrings.xml><?xml version="1.0" encoding="utf-8"?>
<sst xmlns="http://schemas.openxmlformats.org/spreadsheetml/2006/main" count="52" uniqueCount="50">
  <si>
    <t>TABLA DE AMORTIZACIÓN DEL PRÉSTAMO</t>
  </si>
  <si>
    <t>Capital Total</t>
  </si>
  <si>
    <t>Interés Mens</t>
  </si>
  <si>
    <t>Interés Anual</t>
  </si>
  <si>
    <t>Nº de Meses</t>
  </si>
  <si>
    <t>Mensualidad</t>
  </si>
  <si>
    <t>Mes</t>
  </si>
  <si>
    <t>Capital</t>
  </si>
  <si>
    <t>Interés</t>
  </si>
  <si>
    <t>Pendiente</t>
  </si>
  <si>
    <t>Amortización</t>
  </si>
  <si>
    <t>Total Amortizado</t>
  </si>
  <si>
    <t>Horario para el personal Disneyland Paris</t>
  </si>
  <si>
    <t>Tipo horario</t>
  </si>
  <si>
    <t>Días 
Descanso</t>
  </si>
  <si>
    <t>Domingo</t>
  </si>
  <si>
    <t>Lunes</t>
  </si>
  <si>
    <t>Martes</t>
  </si>
  <si>
    <t>Miércoles</t>
  </si>
  <si>
    <t>Jueves</t>
  </si>
  <si>
    <t>Viernes</t>
  </si>
  <si>
    <t>Sábado</t>
  </si>
  <si>
    <t>Total Empleados</t>
  </si>
  <si>
    <t>A</t>
  </si>
  <si>
    <t>Dom, Lun</t>
  </si>
  <si>
    <t>B</t>
  </si>
  <si>
    <t>Lun, Mar</t>
  </si>
  <si>
    <t>C</t>
  </si>
  <si>
    <t>Mar, Mier</t>
  </si>
  <si>
    <t>D</t>
  </si>
  <si>
    <t>Mier, Jue</t>
  </si>
  <si>
    <t>E</t>
  </si>
  <si>
    <t>Jue, Vier</t>
  </si>
  <si>
    <t>F</t>
  </si>
  <si>
    <t>Vier, Sab</t>
  </si>
  <si>
    <t>G</t>
  </si>
  <si>
    <t>Sab, Dom</t>
  </si>
  <si>
    <t>Numero Empleados por Día</t>
  </si>
  <si>
    <t>Sueldo Empleado/Día</t>
  </si>
  <si>
    <t>Dinero Pagado a Empleados/Día</t>
  </si>
  <si>
    <t>Dinero Pagado a Empleados/Semana</t>
  </si>
  <si>
    <t>Dinero Pagado a Empleados/Mes</t>
  </si>
  <si>
    <t>Fecha y Hora</t>
  </si>
  <si>
    <t>Números</t>
  </si>
  <si>
    <t>Valor Absoluto</t>
  </si>
  <si>
    <t>Entero</t>
  </si>
  <si>
    <t>Pi vale</t>
  </si>
  <si>
    <t>Número al azar</t>
  </si>
  <si>
    <t>Mediana</t>
  </si>
  <si>
    <t>Raíz Cuadrada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</si>
</sst>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0%"/>
    <numFmt numFmtId="165" formatCode="#,##0.0%"/>
    <numFmt numFmtId="166" formatCode="#,##0.0"/>
  </numFmts>
  <fonts count="8" x14ac:knownFonts="1">
    <font>
      <sz val="11"/>
      <color theme="1"/>
      <name val="Calibri"/>
      <family val="2"/>
      <scheme val="minor"/>
    </font>
    <font>
      <u/>
      <sz val="12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u/>
      <sz val="10"/>
      <color rgb="FF000000"/>
      <name val="Arial"/>
      <family val="2"/>
    </font>
    <font>
      <b/>
      <u/>
      <sz val="16"/>
      <color rgb="FF000000"/>
      <name val="Arial"/>
      <family val="2"/>
    </font>
    <font>
      <b/>
      <u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afabab"/>
      </patternFill>
    </fill>
    <fill>
      <patternFill patternType="solid">
        <fgColor rgb="FFbfbfbf"/>
      </patternFill>
    </fill>
    <fill>
      <patternFill patternType="solid">
        <fgColor rgb="FFa6a6a6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2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4" applyNumberFormat="1" borderId="3" applyBorder="1" fontId="1" applyFont="1" fillId="2" applyFill="1" applyAlignment="1">
      <alignment horizontal="center"/>
    </xf>
    <xf xfId="0" numFmtId="3" applyNumberFormat="1" borderId="4" applyBorder="1" fontId="2" applyFont="1" fillId="0" applyAlignment="1">
      <alignment horizontal="right"/>
    </xf>
    <xf xfId="0" numFmtId="4" applyNumberFormat="1" borderId="4" applyBorder="1" fontId="2" applyFont="1" fillId="0" applyAlignment="1">
      <alignment horizontal="right"/>
    </xf>
    <xf xfId="0" numFmtId="3" applyNumberFormat="1" borderId="5" applyBorder="1" fontId="2" applyFont="1" fillId="0" applyAlignment="1">
      <alignment horizontal="left"/>
    </xf>
    <xf xfId="0" numFmtId="4" applyNumberFormat="1" borderId="6" applyBorder="1" fontId="3" applyFont="1" fillId="0" applyAlignment="1">
      <alignment horizontal="right"/>
    </xf>
    <xf xfId="0" numFmtId="4" applyNumberFormat="1" borderId="7" applyBorder="1" fontId="2" applyFont="1" fillId="0" applyAlignment="1">
      <alignment horizontal="left"/>
    </xf>
    <xf xfId="0" numFmtId="164" applyNumberFormat="1" borderId="8" applyBorder="1" fontId="3" applyFont="1" fillId="0" applyAlignment="1">
      <alignment horizontal="right"/>
    </xf>
    <xf xfId="0" numFmtId="3" applyNumberFormat="1" borderId="7" applyBorder="1" fontId="2" applyFont="1" fillId="0" applyAlignment="1">
      <alignment horizontal="left"/>
    </xf>
    <xf xfId="0" numFmtId="165" applyNumberFormat="1" borderId="8" applyBorder="1" fontId="3" applyFont="1" fillId="0" applyAlignment="1">
      <alignment horizontal="right"/>
    </xf>
    <xf xfId="0" numFmtId="4" applyNumberFormat="1" borderId="4" applyBorder="1" fontId="4" applyFont="1" fillId="0" applyAlignment="1">
      <alignment horizontal="center"/>
    </xf>
    <xf xfId="0" numFmtId="4" applyNumberFormat="1" borderId="4" applyBorder="1" fontId="4" applyFont="1" fillId="0" applyAlignment="1">
      <alignment horizontal="right"/>
    </xf>
    <xf xfId="0" numFmtId="3" applyNumberFormat="1" borderId="8" applyBorder="1" fontId="3" applyFont="1" fillId="0" applyAlignment="1">
      <alignment horizontal="right"/>
    </xf>
    <xf xfId="0" numFmtId="4" applyNumberFormat="1" borderId="4" applyBorder="1" fontId="5" applyFont="1" fillId="0" applyAlignment="1">
      <alignment horizontal="right"/>
    </xf>
    <xf xfId="0" numFmtId="3" applyNumberFormat="1" borderId="9" applyBorder="1" fontId="2" applyFont="1" fillId="0" applyAlignment="1">
      <alignment horizontal="left"/>
    </xf>
    <xf xfId="0" numFmtId="4" applyNumberFormat="1" borderId="10" applyBorder="1" fontId="3" applyFont="1" fillId="0" applyAlignment="1">
      <alignment horizontal="right"/>
    </xf>
    <xf xfId="0" numFmtId="4" applyNumberFormat="1" borderId="11" applyBorder="1" fontId="2" applyFont="1" fillId="0" applyAlignment="1">
      <alignment horizontal="right"/>
    </xf>
    <xf xfId="0" numFmtId="4" applyNumberFormat="1" borderId="12" applyBorder="1" fontId="2" applyFont="1" fillId="0" applyAlignment="1">
      <alignment horizontal="right"/>
    </xf>
    <xf xfId="0" numFmtId="3" applyNumberFormat="1" borderId="13" applyBorder="1" fontId="1" applyFont="1" fillId="2" applyFill="1" applyAlignment="1">
      <alignment horizontal="center"/>
    </xf>
    <xf xfId="0" numFmtId="3" applyNumberFormat="1" borderId="14" applyBorder="1" fontId="1" applyFont="1" fillId="2" applyFill="1" applyAlignment="1">
      <alignment horizontal="center"/>
    </xf>
    <xf xfId="0" numFmtId="4" applyNumberFormat="1" borderId="13" applyBorder="1" fontId="1" applyFont="1" fillId="2" applyFill="1" applyAlignment="1">
      <alignment horizontal="center"/>
    </xf>
    <xf xfId="0" numFmtId="3" applyNumberFormat="1" borderId="15" applyBorder="1" fontId="2" applyFont="1" fillId="0" applyAlignment="1">
      <alignment horizontal="right"/>
    </xf>
    <xf xfId="0" numFmtId="4" applyNumberFormat="1" borderId="15" applyBorder="1" fontId="2" applyFont="1" fillId="0" applyAlignment="1">
      <alignment horizontal="right"/>
    </xf>
    <xf xfId="0" numFmtId="4" applyNumberFormat="1" borderId="15" applyBorder="1" fontId="2" applyFont="1" fillId="3" applyFill="1" applyAlignment="1">
      <alignment horizontal="right"/>
    </xf>
    <xf xfId="0" numFmtId="3" applyNumberFormat="1" borderId="16" applyBorder="1" fontId="2" applyFont="1" fillId="0" applyAlignment="1">
      <alignment horizontal="right"/>
    </xf>
    <xf xfId="0" numFmtId="3" applyNumberFormat="1" borderId="17" applyBorder="1" fontId="1" applyFont="1" fillId="2" applyFill="1" applyAlignment="1">
      <alignment horizontal="center"/>
    </xf>
    <xf xfId="0" numFmtId="4" applyNumberFormat="1" borderId="18" applyBorder="1" fontId="1" applyFont="1" fillId="2" applyFill="1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19" applyBorder="1" fontId="6" applyFont="1" fillId="4" applyFill="1" applyAlignment="1">
      <alignment horizontal="center"/>
    </xf>
    <xf xfId="0" numFmtId="1" applyNumberFormat="1" borderId="19" applyBorder="1" fontId="6" applyFont="1" fillId="4" applyFill="1" applyAlignment="1">
      <alignment horizontal="center"/>
    </xf>
    <xf xfId="0" numFmtId="0" borderId="0" fontId="0" fillId="0" applyAlignment="1">
      <alignment horizontal="general"/>
    </xf>
    <xf xfId="0" numFmtId="1" applyNumberFormat="1" borderId="4" applyBorder="1" fontId="4" applyFont="1" fillId="0" applyAlignment="1">
      <alignment horizontal="left"/>
    </xf>
    <xf xfId="0" numFmtId="3" applyNumberFormat="1" borderId="4" applyBorder="1" fontId="4" applyFont="1" fillId="0" applyAlignment="1">
      <alignment horizontal="right"/>
    </xf>
    <xf xfId="0" numFmtId="0" borderId="15" applyBorder="1" fontId="3" applyFont="1" fillId="0" applyAlignment="1">
      <alignment horizontal="center" wrapText="1"/>
    </xf>
    <xf xfId="0" numFmtId="1" applyNumberFormat="1" borderId="15" applyBorder="1" fontId="3" applyFont="1" fillId="0" applyAlignment="1">
      <alignment horizontal="center" wrapText="1"/>
    </xf>
    <xf xfId="0" numFmtId="3" applyNumberFormat="1" borderId="15" applyBorder="1" fontId="3" applyFont="1" fillId="0" applyAlignment="1">
      <alignment horizontal="center"/>
    </xf>
    <xf xfId="0" numFmtId="1" applyNumberFormat="1" borderId="15" applyBorder="1" fontId="3" applyFont="1" fillId="0" applyAlignment="1">
      <alignment horizontal="center"/>
    </xf>
    <xf xfId="0" numFmtId="0" borderId="15" applyBorder="1" fontId="2" applyFont="1" fillId="0" applyAlignment="1">
      <alignment horizontal="center"/>
    </xf>
    <xf xfId="0" numFmtId="1" applyNumberFormat="1" borderId="15" applyBorder="1" fontId="2" applyFont="1" fillId="0" applyAlignment="1">
      <alignment horizontal="left"/>
    </xf>
    <xf xfId="0" numFmtId="1" applyNumberFormat="1" borderId="15" applyBorder="1" fontId="2" applyFont="1" fillId="0" applyAlignment="1">
      <alignment horizontal="right"/>
    </xf>
    <xf xfId="0" numFmtId="1" applyNumberFormat="1" borderId="15" applyBorder="1" fontId="2" applyFont="1" fillId="4" applyFill="1" applyAlignment="1">
      <alignment horizontal="right"/>
    </xf>
    <xf xfId="0" numFmtId="1" applyNumberFormat="1" borderId="4" applyBorder="1" fontId="2" applyFont="1" fillId="0" applyAlignment="1">
      <alignment horizontal="left"/>
    </xf>
    <xf xfId="0" numFmtId="1" applyNumberFormat="1" borderId="19" applyBorder="1" fontId="2" applyFont="1" fillId="3" applyFill="1" applyAlignment="1">
      <alignment horizontal="right"/>
    </xf>
    <xf xfId="0" numFmtId="3" applyNumberFormat="1" borderId="15" applyBorder="1" fontId="2" applyFont="1" fillId="5" applyFill="1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left"/>
    </xf>
    <xf xfId="0" numFmtId="1" applyNumberFormat="1" borderId="0" fontId="0" fillId="0" applyAlignment="1">
      <alignment horizontal="general"/>
    </xf>
    <xf xfId="0" numFmtId="3" applyNumberFormat="1" borderId="15" applyBorder="1" fontId="7" applyFont="1" fillId="0" applyAlignment="1">
      <alignment horizontal="center"/>
    </xf>
    <xf xfId="0" numFmtId="1" applyNumberFormat="1" borderId="20" applyBorder="1" fontId="7" applyFont="1" fillId="0" applyAlignment="1">
      <alignment horizontal="center"/>
    </xf>
    <xf xfId="0" numFmtId="0" borderId="21" applyBorder="1" fontId="7" applyFont="1" fillId="0" applyAlignment="1">
      <alignment horizontal="center"/>
    </xf>
    <xf xfId="0" numFmtId="0" borderId="22" applyBorder="1" fontId="7" applyFont="1" fillId="0" applyAlignment="1">
      <alignment horizontal="center"/>
    </xf>
    <xf xfId="0" numFmtId="22" applyNumberFormat="1" borderId="15" applyBorder="1" fontId="3" applyFont="1" fillId="5" applyFill="1" applyAlignment="1">
      <alignment horizontal="center"/>
    </xf>
    <xf xfId="0" numFmtId="1" applyNumberFormat="1" borderId="15" applyBorder="1" fontId="3" applyFont="1" fillId="0" applyAlignment="1">
      <alignment horizontal="right"/>
    </xf>
    <xf xfId="0" numFmtId="3" applyNumberFormat="1" borderId="15" applyBorder="1" fontId="3" applyFont="1" fillId="4" applyFill="1" applyAlignment="1">
      <alignment horizontal="right"/>
    </xf>
    <xf xfId="0" numFmtId="1" applyNumberFormat="1" borderId="15" applyBorder="1" fontId="3" applyFont="1" fillId="4" applyFill="1" applyAlignment="1">
      <alignment horizontal="right"/>
    </xf>
    <xf xfId="0" numFmtId="4" applyNumberFormat="1" borderId="15" applyBorder="1" fontId="3" applyFont="1" fillId="0" applyAlignment="1">
      <alignment horizontal="right"/>
    </xf>
    <xf xfId="0" numFmtId="4" applyNumberFormat="1" borderId="15" applyBorder="1" fontId="3" applyFont="1" fillId="4" applyFill="1" applyAlignment="1">
      <alignment horizontal="right"/>
    </xf>
    <xf xfId="0" numFmtId="3" applyNumberFormat="1" borderId="23" applyBorder="1" fontId="3" applyFont="1" fillId="0" applyAlignment="1">
      <alignment horizontal="center"/>
    </xf>
    <xf xfId="0" numFmtId="4" applyNumberFormat="1" borderId="24" applyBorder="1" fontId="3" applyFont="1" fillId="4" applyFill="1" applyAlignment="1">
      <alignment horizontal="right"/>
    </xf>
    <xf xfId="0" numFmtId="166" applyNumberFormat="1" borderId="15" applyBorder="1" fontId="3" applyFont="1" fillId="0" applyAlignment="1">
      <alignment horizontal="right"/>
    </xf>
    <xf xfId="0" numFmtId="1" applyNumberFormat="1" borderId="4" applyBorder="1" fontId="4" applyFont="1" fillId="0" applyAlignment="1">
      <alignment horizontal="right"/>
    </xf>
    <xf xfId="0" numFmtId="3" applyNumberFormat="1" borderId="25" applyBorder="1" fontId="7" applyFont="1" fillId="5" applyFill="1" applyAlignment="1">
      <alignment horizontal="center"/>
    </xf>
    <xf xfId="0" numFmtId="3" applyNumberFormat="1" borderId="26" applyBorder="1" fontId="7" applyFont="1" fillId="5" applyFill="1" applyAlignment="1">
      <alignment horizontal="center"/>
    </xf>
    <xf xfId="0" numFmtId="0" borderId="15" applyBorder="1" fontId="7" applyFont="1" fillId="0" applyAlignment="1">
      <alignment horizontal="center"/>
    </xf>
    <xf xfId="0" numFmtId="3" applyNumberFormat="1" borderId="15" applyBorder="1" fontId="3" applyFont="1" fillId="5" applyFill="1" applyAlignment="1">
      <alignment horizontal="center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/>
  </sheetViews>
  <sheetFormatPr defaultRowHeight="15" x14ac:dyDescent="0.25"/>
  <cols>
    <col min="1" max="1" style="69" width="17.862142857142857" customWidth="1" bestFit="1"/>
    <col min="2" max="2" style="69" width="17.862142857142857" customWidth="1" bestFit="1"/>
    <col min="3" max="3" style="48" width="2.862142857142857" customWidth="1" bestFit="1"/>
    <col min="4" max="4" style="70" width="14.290714285714287" customWidth="1" bestFit="1"/>
    <col min="5" max="5" style="71" width="14.290714285714287" customWidth="1" bestFit="1"/>
    <col min="6" max="6" style="48" width="9.719285714285713" customWidth="1" bestFit="1"/>
  </cols>
  <sheetData>
    <row x14ac:dyDescent="0.25" r="1" customHeight="1" ht="18.75">
      <c r="A1" s="51" t="s">
        <v>42</v>
      </c>
      <c r="B1" s="36"/>
      <c r="C1" s="34"/>
      <c r="D1" s="52" t="s">
        <v>43</v>
      </c>
      <c r="E1" s="53" t="s">
        <v>44</v>
      </c>
      <c r="F1" s="54" t="s">
        <v>45</v>
      </c>
    </row>
    <row x14ac:dyDescent="0.25" r="2" customHeight="1" ht="18.75">
      <c r="A2" s="55">
        <f>NOW()</f>
        <v>25569.041666666668</v>
      </c>
      <c r="B2" s="36"/>
      <c r="C2" s="34"/>
      <c r="D2" s="56">
        <v>1</v>
      </c>
      <c r="E2" s="57">
        <f>ABS(D2)</f>
      </c>
      <c r="F2" s="58">
        <f>INT(D2)</f>
      </c>
    </row>
    <row x14ac:dyDescent="0.25" r="3" customHeight="1" ht="18.75">
      <c r="A3" s="36"/>
      <c r="B3" s="36"/>
      <c r="C3" s="34"/>
      <c r="D3" s="56">
        <v>-1</v>
      </c>
      <c r="E3" s="57">
        <f>ABS(D3)</f>
      </c>
      <c r="F3" s="58">
        <f>INT(D3)</f>
      </c>
    </row>
    <row x14ac:dyDescent="0.25" r="4" customHeight="1" ht="18.75">
      <c r="A4" s="36"/>
      <c r="B4" s="36"/>
      <c r="C4" s="34"/>
      <c r="D4" s="59">
        <v>2.99</v>
      </c>
      <c r="E4" s="60">
        <f>ABS(D4)</f>
      </c>
      <c r="F4" s="58">
        <f>INT(D4)</f>
      </c>
    </row>
    <row x14ac:dyDescent="0.25" r="5" customHeight="1" ht="18.75">
      <c r="A5" s="36"/>
      <c r="B5" s="36"/>
      <c r="C5" s="34"/>
      <c r="D5" s="59">
        <v>-2.99</v>
      </c>
      <c r="E5" s="60">
        <f>ABS(D5)</f>
      </c>
      <c r="F5" s="58">
        <f>INT(D5)</f>
      </c>
    </row>
    <row x14ac:dyDescent="0.25" r="6" customHeight="1" ht="18.75">
      <c r="A6" s="39" t="s">
        <v>46</v>
      </c>
      <c r="B6" s="60">
        <f>PI()</f>
      </c>
      <c r="C6" s="34"/>
      <c r="D6" s="56">
        <v>3</v>
      </c>
      <c r="E6" s="57">
        <f>ABS(D6)</f>
      </c>
      <c r="F6" s="58">
        <f>INT(D6)</f>
      </c>
    </row>
    <row x14ac:dyDescent="0.25" r="7" customHeight="1" ht="18.75">
      <c r="A7" s="61" t="s">
        <v>47</v>
      </c>
      <c r="B7" s="62">
        <f>RAND()</f>
      </c>
      <c r="C7" s="34"/>
      <c r="D7" s="56">
        <v>-3</v>
      </c>
      <c r="E7" s="57">
        <f>ABS(D7)</f>
      </c>
      <c r="F7" s="58">
        <f>INT(D7)</f>
      </c>
    </row>
    <row x14ac:dyDescent="0.25" r="8" customHeight="1" ht="18.75">
      <c r="A8" s="36"/>
      <c r="B8" s="36"/>
      <c r="C8" s="34"/>
      <c r="D8" s="63">
        <v>2.5</v>
      </c>
      <c r="E8" s="60">
        <f>ABS(D8)</f>
      </c>
      <c r="F8" s="58">
        <f>INT(D8)</f>
      </c>
    </row>
    <row x14ac:dyDescent="0.25" r="9" customHeight="1" ht="18.75">
      <c r="A9" s="36"/>
      <c r="B9" s="36"/>
      <c r="C9" s="34"/>
      <c r="D9" s="59">
        <v>-6.33</v>
      </c>
      <c r="E9" s="60">
        <f>ABS(D9)</f>
      </c>
      <c r="F9" s="58">
        <f>INT(D9)</f>
      </c>
    </row>
    <row x14ac:dyDescent="0.25" r="10" customHeight="1" ht="18.75">
      <c r="A10" s="36"/>
      <c r="B10" s="36"/>
      <c r="C10" s="34"/>
      <c r="D10" s="64"/>
      <c r="E10" s="13"/>
      <c r="F10" s="35"/>
    </row>
    <row x14ac:dyDescent="0.25" r="11" customHeight="1" ht="18.75">
      <c r="A11" s="65" t="s">
        <v>48</v>
      </c>
      <c r="B11" s="66"/>
      <c r="C11" s="34"/>
      <c r="D11" s="52" t="s">
        <v>43</v>
      </c>
      <c r="E11" s="67" t="s">
        <v>49</v>
      </c>
      <c r="F11" s="35"/>
    </row>
    <row x14ac:dyDescent="0.25" r="12" customHeight="1" ht="18.75">
      <c r="A12" s="39">
        <v>1</v>
      </c>
      <c r="B12" s="39">
        <v>1</v>
      </c>
      <c r="C12" s="34"/>
      <c r="D12" s="56">
        <v>4</v>
      </c>
      <c r="E12" s="57">
        <f>SQRT(D12)</f>
      </c>
      <c r="F12" s="35"/>
    </row>
    <row x14ac:dyDescent="0.25" r="13" customHeight="1" ht="18.75">
      <c r="A13" s="39">
        <v>3</v>
      </c>
      <c r="B13" s="39">
        <v>3</v>
      </c>
      <c r="C13" s="34"/>
      <c r="D13" s="56">
        <v>9</v>
      </c>
      <c r="E13" s="57">
        <f>SQRT(D13)</f>
      </c>
      <c r="F13" s="35"/>
    </row>
    <row x14ac:dyDescent="0.25" r="14" customHeight="1" ht="18.75">
      <c r="A14" s="39">
        <v>5</v>
      </c>
      <c r="B14" s="39">
        <v>5</v>
      </c>
      <c r="C14" s="34"/>
      <c r="D14" s="56">
        <v>16</v>
      </c>
      <c r="E14" s="57">
        <f>SQRT(D14)</f>
      </c>
      <c r="F14" s="35"/>
    </row>
    <row x14ac:dyDescent="0.25" r="15" customHeight="1" ht="18.75">
      <c r="A15" s="39">
        <v>7</v>
      </c>
      <c r="B15" s="39">
        <v>7</v>
      </c>
      <c r="C15" s="34"/>
      <c r="D15" s="56">
        <v>25</v>
      </c>
      <c r="E15" s="57">
        <f>SQRT(D15)</f>
      </c>
      <c r="F15" s="35"/>
    </row>
    <row x14ac:dyDescent="0.25" r="16" customHeight="1" ht="18.75">
      <c r="A16" s="39">
        <v>9</v>
      </c>
      <c r="B16" s="39">
        <v>9</v>
      </c>
      <c r="C16" s="34"/>
      <c r="D16" s="56">
        <v>36</v>
      </c>
      <c r="E16" s="57">
        <f>SQRT(D16)</f>
      </c>
      <c r="F16" s="35"/>
    </row>
    <row x14ac:dyDescent="0.25" r="17" customHeight="1" ht="18.75">
      <c r="A17" s="39"/>
      <c r="B17" s="39">
        <v>11</v>
      </c>
      <c r="C17" s="34"/>
      <c r="D17" s="56">
        <v>25</v>
      </c>
      <c r="E17" s="57">
        <f>SQRT(D17)</f>
      </c>
      <c r="F17" s="35"/>
    </row>
    <row x14ac:dyDescent="0.25" r="18" customHeight="1" ht="18.75">
      <c r="A18" s="68">
        <f>MEDIAN(A12:A16)</f>
      </c>
      <c r="B18" s="68">
        <f>MEDIAN(B12:B17)</f>
      </c>
      <c r="C18" s="34"/>
      <c r="D18" s="56">
        <v>36</v>
      </c>
      <c r="E18" s="57">
        <f>SQRT(D18)</f>
      </c>
      <c r="F18" s="35"/>
    </row>
    <row x14ac:dyDescent="0.25" r="19" customHeight="1" ht="18.75">
      <c r="A19" s="36"/>
      <c r="B19" s="36"/>
      <c r="C19" s="34"/>
      <c r="D19" s="56">
        <v>49</v>
      </c>
      <c r="E19" s="57">
        <f>SQRT(D19)</f>
      </c>
      <c r="F19" s="35"/>
    </row>
    <row x14ac:dyDescent="0.25" r="20" customHeight="1" ht="18.75">
      <c r="A20" s="36"/>
      <c r="B20" s="36"/>
      <c r="C20" s="34"/>
      <c r="D20" s="56">
        <v>100</v>
      </c>
      <c r="E20" s="57">
        <f>SQRT(D20)</f>
      </c>
      <c r="F20" s="35"/>
    </row>
    <row x14ac:dyDescent="0.25" r="21" customHeight="1" ht="18.75">
      <c r="A21" s="36"/>
      <c r="B21" s="36"/>
      <c r="C21" s="34"/>
      <c r="D21" s="56">
        <v>55</v>
      </c>
      <c r="E21" s="60">
        <f>SQRT(D21)</f>
      </c>
      <c r="F21" s="35"/>
    </row>
  </sheetData>
  <mergeCells count="1"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0"/>
  <sheetViews>
    <sheetView workbookViewId="0"/>
  </sheetViews>
  <sheetFormatPr defaultRowHeight="15" x14ac:dyDescent="0.25"/>
  <cols>
    <col min="1" max="1" style="48" width="7.862142857142857" customWidth="1" bestFit="1"/>
    <col min="2" max="2" style="49" width="32.71928571428572" customWidth="1" bestFit="1"/>
    <col min="3" max="3" style="29" width="9.719285714285713" customWidth="1" bestFit="1"/>
    <col min="4" max="4" style="50" width="8.290714285714287" customWidth="1" bestFit="1"/>
    <col min="5" max="5" style="50" width="9.147857142857141" customWidth="1" bestFit="1"/>
    <col min="6" max="6" style="50" width="10.005" customWidth="1" bestFit="1"/>
    <col min="7" max="7" style="50" width="9.005" customWidth="1" bestFit="1"/>
    <col min="8" max="8" style="50" width="9.43357142857143" customWidth="1" bestFit="1"/>
    <col min="9" max="9" style="50" width="9.43357142857143" customWidth="1" bestFit="1"/>
    <col min="10" max="10" style="50" width="11.147857142857141" customWidth="1" bestFit="1"/>
  </cols>
  <sheetData>
    <row x14ac:dyDescent="0.25" r="1" customHeight="1" ht="24">
      <c r="A1" s="32" t="s">
        <v>12</v>
      </c>
      <c r="B1" s="33"/>
      <c r="C1" s="33"/>
      <c r="D1" s="33"/>
      <c r="E1" s="33"/>
      <c r="F1" s="33"/>
      <c r="G1" s="33"/>
      <c r="H1" s="33"/>
      <c r="I1" s="33"/>
      <c r="J1" s="33"/>
    </row>
    <row x14ac:dyDescent="0.25" r="2" customHeight="1" ht="18.75">
      <c r="A2" s="34"/>
      <c r="B2" s="35"/>
      <c r="C2" s="36"/>
      <c r="D2" s="36"/>
      <c r="E2" s="36"/>
      <c r="F2" s="36"/>
      <c r="G2" s="36"/>
      <c r="H2" s="36"/>
      <c r="I2" s="36"/>
      <c r="J2" s="35"/>
    </row>
    <row x14ac:dyDescent="0.25" r="3" customHeight="1" ht="40.5">
      <c r="A3" s="37" t="s">
        <v>13</v>
      </c>
      <c r="B3" s="38" t="s">
        <v>14</v>
      </c>
      <c r="C3" s="39" t="s">
        <v>15</v>
      </c>
      <c r="D3" s="40" t="s">
        <v>16</v>
      </c>
      <c r="E3" s="40" t="s">
        <v>17</v>
      </c>
      <c r="F3" s="40" t="s">
        <v>18</v>
      </c>
      <c r="G3" s="40" t="s">
        <v>19</v>
      </c>
      <c r="H3" s="40" t="s">
        <v>20</v>
      </c>
      <c r="I3" s="40" t="s">
        <v>21</v>
      </c>
      <c r="J3" s="38" t="s">
        <v>22</v>
      </c>
    </row>
    <row x14ac:dyDescent="0.25" r="4" customHeight="1" ht="18.75">
      <c r="A4" s="41" t="s">
        <v>23</v>
      </c>
      <c r="B4" s="42" t="s">
        <v>24</v>
      </c>
      <c r="C4" s="43">
        <v>0</v>
      </c>
      <c r="D4" s="43">
        <v>0</v>
      </c>
      <c r="E4" s="43">
        <v>6</v>
      </c>
      <c r="F4" s="43">
        <v>6</v>
      </c>
      <c r="G4" s="43">
        <v>7</v>
      </c>
      <c r="H4" s="43">
        <v>10</v>
      </c>
      <c r="I4" s="43">
        <v>14</v>
      </c>
      <c r="J4" s="44">
        <f>C4+D4+E4+F4+G4+H4+I4</f>
      </c>
    </row>
    <row x14ac:dyDescent="0.25" r="5" customHeight="1" ht="18.75">
      <c r="A5" s="41" t="s">
        <v>25</v>
      </c>
      <c r="B5" s="42" t="s">
        <v>26</v>
      </c>
      <c r="C5" s="43">
        <v>8</v>
      </c>
      <c r="D5" s="43">
        <v>0</v>
      </c>
      <c r="E5" s="43">
        <v>0</v>
      </c>
      <c r="F5" s="43">
        <v>6</v>
      </c>
      <c r="G5" s="43">
        <v>7</v>
      </c>
      <c r="H5" s="43">
        <v>10</v>
      </c>
      <c r="I5" s="43">
        <v>14</v>
      </c>
      <c r="J5" s="44">
        <f>C5+D5+E5+F5+G5+H5+I5</f>
      </c>
    </row>
    <row x14ac:dyDescent="0.25" r="6" customHeight="1" ht="18.75">
      <c r="A6" s="41" t="s">
        <v>27</v>
      </c>
      <c r="B6" s="42" t="s">
        <v>28</v>
      </c>
      <c r="C6" s="43">
        <v>8</v>
      </c>
      <c r="D6" s="43">
        <v>5</v>
      </c>
      <c r="E6" s="43">
        <v>0</v>
      </c>
      <c r="F6" s="43">
        <v>0</v>
      </c>
      <c r="G6" s="43">
        <v>7</v>
      </c>
      <c r="H6" s="43">
        <v>10</v>
      </c>
      <c r="I6" s="43">
        <v>14</v>
      </c>
      <c r="J6" s="44">
        <f>C6+D6+E6+F6+G6+H6+I6</f>
      </c>
    </row>
    <row x14ac:dyDescent="0.25" r="7" customHeight="1" ht="18.75">
      <c r="A7" s="41" t="s">
        <v>29</v>
      </c>
      <c r="B7" s="42" t="s">
        <v>30</v>
      </c>
      <c r="C7" s="43">
        <v>8</v>
      </c>
      <c r="D7" s="43">
        <v>5</v>
      </c>
      <c r="E7" s="43">
        <v>6</v>
      </c>
      <c r="F7" s="43">
        <v>0</v>
      </c>
      <c r="G7" s="43">
        <v>0</v>
      </c>
      <c r="H7" s="43">
        <v>10</v>
      </c>
      <c r="I7" s="43">
        <v>14</v>
      </c>
      <c r="J7" s="44">
        <f>C7+D7+E7+F7+G7+H7+I7</f>
      </c>
    </row>
    <row x14ac:dyDescent="0.25" r="8" customHeight="1" ht="18.75">
      <c r="A8" s="41" t="s">
        <v>31</v>
      </c>
      <c r="B8" s="42" t="s">
        <v>32</v>
      </c>
      <c r="C8" s="43">
        <v>8</v>
      </c>
      <c r="D8" s="43">
        <v>5</v>
      </c>
      <c r="E8" s="43">
        <v>6</v>
      </c>
      <c r="F8" s="43">
        <v>6</v>
      </c>
      <c r="G8" s="43">
        <v>0</v>
      </c>
      <c r="H8" s="43">
        <v>0</v>
      </c>
      <c r="I8" s="43">
        <v>14</v>
      </c>
      <c r="J8" s="44">
        <f>C8+D8+E8+F8+G8+H8+I8</f>
      </c>
    </row>
    <row x14ac:dyDescent="0.25" r="9" customHeight="1" ht="18.75">
      <c r="A9" s="41" t="s">
        <v>33</v>
      </c>
      <c r="B9" s="42" t="s">
        <v>34</v>
      </c>
      <c r="C9" s="43">
        <v>8</v>
      </c>
      <c r="D9" s="43">
        <v>5</v>
      </c>
      <c r="E9" s="43">
        <v>6</v>
      </c>
      <c r="F9" s="43">
        <v>6</v>
      </c>
      <c r="G9" s="43">
        <v>0</v>
      </c>
      <c r="H9" s="43">
        <v>0</v>
      </c>
      <c r="I9" s="43">
        <v>0</v>
      </c>
      <c r="J9" s="44">
        <f>C9+D9+E9+F9+G9+H9+I9</f>
      </c>
    </row>
    <row x14ac:dyDescent="0.25" r="10" customHeight="1" ht="18.75">
      <c r="A10" s="41" t="s">
        <v>35</v>
      </c>
      <c r="B10" s="42" t="s">
        <v>36</v>
      </c>
      <c r="C10" s="43">
        <v>0</v>
      </c>
      <c r="D10" s="43">
        <v>5</v>
      </c>
      <c r="E10" s="43">
        <v>6</v>
      </c>
      <c r="F10" s="43">
        <v>6</v>
      </c>
      <c r="G10" s="43">
        <v>7</v>
      </c>
      <c r="H10" s="43">
        <v>10</v>
      </c>
      <c r="I10" s="43">
        <v>0</v>
      </c>
      <c r="J10" s="44">
        <f>C10+D10+E10+F10+G10+H10+I10</f>
      </c>
    </row>
    <row x14ac:dyDescent="0.25" r="11" customHeight="1" ht="18.75">
      <c r="A11" s="34"/>
      <c r="B11" s="35"/>
      <c r="C11" s="36"/>
      <c r="D11" s="36"/>
      <c r="E11" s="36"/>
      <c r="F11" s="36"/>
      <c r="G11" s="36"/>
      <c r="H11" s="36"/>
      <c r="I11" s="36"/>
      <c r="J11" s="35"/>
    </row>
    <row x14ac:dyDescent="0.25" r="12" customHeight="1" ht="18.75">
      <c r="A12" s="34"/>
      <c r="B12" s="45" t="s">
        <v>37</v>
      </c>
      <c r="C12" s="46">
        <f>C4+C5+C6+C7+C8+C9+C10</f>
      </c>
      <c r="D12" s="46">
        <f>D4+D5+D6+D7+D8+D9+D10</f>
      </c>
      <c r="E12" s="46">
        <f>E4+E5+E6+E7+E8+E9+E10</f>
      </c>
      <c r="F12" s="46">
        <f>F4+F5+F6+F7+F8+F9+F10</f>
      </c>
      <c r="G12" s="46">
        <f>G4+G5+G6+G7+G8+G9+G10</f>
      </c>
      <c r="H12" s="46">
        <f>H4+H5+H6+H7+H8+H9+H10</f>
      </c>
      <c r="I12" s="46">
        <f>I4+I5+I6+I7+I8+I9+I10</f>
      </c>
      <c r="J12" s="45"/>
    </row>
    <row x14ac:dyDescent="0.25" r="13" customHeight="1" ht="18.75">
      <c r="A13" s="34"/>
      <c r="B13" s="45"/>
      <c r="C13" s="36"/>
      <c r="D13" s="36"/>
      <c r="E13" s="36"/>
      <c r="F13" s="36"/>
      <c r="G13" s="36"/>
      <c r="H13" s="36"/>
      <c r="I13" s="36"/>
      <c r="J13" s="35"/>
    </row>
    <row x14ac:dyDescent="0.25" r="14" customHeight="1" ht="18.75">
      <c r="A14" s="34"/>
      <c r="B14" s="45" t="s">
        <v>38</v>
      </c>
      <c r="C14" s="4">
        <v>41</v>
      </c>
      <c r="D14" s="36"/>
      <c r="E14" s="36"/>
      <c r="F14" s="36"/>
      <c r="G14" s="36"/>
      <c r="H14" s="36"/>
      <c r="I14" s="36"/>
      <c r="J14" s="35"/>
    </row>
    <row x14ac:dyDescent="0.25" r="15" customHeight="1" ht="18.75">
      <c r="A15" s="34"/>
      <c r="B15" s="45"/>
      <c r="C15" s="36"/>
      <c r="D15" s="36"/>
      <c r="E15" s="36"/>
      <c r="F15" s="36"/>
      <c r="G15" s="36"/>
      <c r="H15" s="36"/>
      <c r="I15" s="36"/>
      <c r="J15" s="35"/>
    </row>
    <row x14ac:dyDescent="0.25" r="16" customHeight="1" ht="18.75">
      <c r="A16" s="34"/>
      <c r="B16" s="45" t="s">
        <v>39</v>
      </c>
      <c r="C16" s="47">
        <f>$C$14*C12</f>
      </c>
      <c r="D16" s="47">
        <f>$C$14*D12</f>
      </c>
      <c r="E16" s="47">
        <f>$C$14*E12</f>
      </c>
      <c r="F16" s="47">
        <f>$C$14*F12</f>
      </c>
      <c r="G16" s="47">
        <f>$C$14*G12</f>
      </c>
      <c r="H16" s="47">
        <f>$C$14*H12</f>
      </c>
      <c r="I16" s="47">
        <f>$C$14*I12</f>
      </c>
      <c r="J16" s="35"/>
    </row>
    <row x14ac:dyDescent="0.25" r="17" customHeight="1" ht="18.75">
      <c r="A17" s="34"/>
      <c r="B17" s="45"/>
      <c r="C17" s="36"/>
      <c r="D17" s="36"/>
      <c r="E17" s="36"/>
      <c r="F17" s="36"/>
      <c r="G17" s="36"/>
      <c r="H17" s="36"/>
      <c r="I17" s="36"/>
      <c r="J17" s="35"/>
    </row>
    <row x14ac:dyDescent="0.25" r="18" customHeight="1" ht="18.75">
      <c r="A18" s="34"/>
      <c r="B18" s="45" t="s">
        <v>40</v>
      </c>
      <c r="C18" s="47">
        <f>C16+D16+E16+F16+G16+H16+I16</f>
      </c>
      <c r="D18" s="36"/>
      <c r="E18" s="36"/>
      <c r="F18" s="36"/>
      <c r="G18" s="36"/>
      <c r="H18" s="36"/>
      <c r="I18" s="36"/>
      <c r="J18" s="35"/>
    </row>
    <row x14ac:dyDescent="0.25" r="19" customHeight="1" ht="18.75">
      <c r="A19" s="34"/>
      <c r="B19" s="45"/>
      <c r="C19" s="36"/>
      <c r="D19" s="36"/>
      <c r="E19" s="36"/>
      <c r="F19" s="36"/>
      <c r="G19" s="36"/>
      <c r="H19" s="36"/>
      <c r="I19" s="36"/>
      <c r="J19" s="35"/>
    </row>
    <row x14ac:dyDescent="0.25" r="20" customHeight="1" ht="18.75">
      <c r="A20" s="34"/>
      <c r="B20" s="45" t="s">
        <v>41</v>
      </c>
      <c r="C20" s="47">
        <f>C18*4</f>
      </c>
      <c r="D20" s="36"/>
      <c r="E20" s="36"/>
      <c r="F20" s="36"/>
      <c r="G20" s="36"/>
      <c r="H20" s="36"/>
      <c r="I20" s="36"/>
      <c r="J20" s="35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2"/>
  <sheetViews>
    <sheetView workbookViewId="0" tabSelected="1"/>
  </sheetViews>
  <sheetFormatPr defaultRowHeight="15" x14ac:dyDescent="0.25"/>
  <cols>
    <col min="1" max="1" style="29" width="7.147857142857143" customWidth="1" bestFit="1"/>
    <col min="2" max="2" style="29" width="12.862142857142858" customWidth="1" bestFit="1"/>
    <col min="3" max="3" style="29" width="12.862142857142858" customWidth="1" bestFit="1"/>
    <col min="4" max="4" style="30" width="12.862142857142858" customWidth="1" bestFit="1"/>
    <col min="5" max="5" style="31" width="12.862142857142858" customWidth="1" bestFit="1"/>
    <col min="6" max="6" style="29" width="13.576428571428572" customWidth="1" bestFit="1"/>
  </cols>
  <sheetData>
    <row x14ac:dyDescent="0.25" r="1" customHeight="1" ht="20.25">
      <c r="A1" s="1" t="s">
        <v>0</v>
      </c>
      <c r="B1" s="2"/>
      <c r="C1" s="2"/>
      <c r="D1" s="2"/>
      <c r="E1" s="2"/>
      <c r="F1" s="3"/>
    </row>
    <row x14ac:dyDescent="0.25" r="2" customHeight="1" ht="18.75">
      <c r="A2" s="4"/>
      <c r="B2" s="5"/>
      <c r="C2" s="5"/>
      <c r="D2" s="5"/>
      <c r="E2" s="5"/>
      <c r="F2" s="5"/>
    </row>
    <row x14ac:dyDescent="0.25" r="3" customHeight="1" ht="18.75">
      <c r="A3" s="4"/>
      <c r="B3" s="6" t="s">
        <v>1</v>
      </c>
      <c r="C3" s="7">
        <v>400000</v>
      </c>
      <c r="D3" s="5"/>
      <c r="E3" s="8" t="s">
        <v>2</v>
      </c>
      <c r="F3" s="9">
        <f>C4/C5</f>
      </c>
    </row>
    <row x14ac:dyDescent="0.25" r="4" customHeight="1" ht="18.75">
      <c r="A4" s="4"/>
      <c r="B4" s="10" t="s">
        <v>3</v>
      </c>
      <c r="C4" s="11">
        <v>0.195</v>
      </c>
      <c r="D4" s="12"/>
      <c r="E4" s="12"/>
      <c r="F4" s="13"/>
    </row>
    <row x14ac:dyDescent="0.25" r="5" customHeight="1" ht="18.75">
      <c r="A5" s="4"/>
      <c r="B5" s="10" t="s">
        <v>4</v>
      </c>
      <c r="C5" s="14">
        <v>12</v>
      </c>
      <c r="D5" s="5"/>
      <c r="E5" s="5"/>
      <c r="F5" s="15"/>
    </row>
    <row x14ac:dyDescent="0.25" r="6" customHeight="1" ht="18.75">
      <c r="A6" s="4"/>
      <c r="B6" s="16" t="s">
        <v>5</v>
      </c>
      <c r="C6" s="17">
        <v>36958</v>
      </c>
      <c r="D6" s="5"/>
      <c r="E6" s="5"/>
      <c r="F6" s="5"/>
    </row>
    <row x14ac:dyDescent="0.25" r="7" customHeight="1" ht="18.75">
      <c r="A7" s="4"/>
      <c r="B7" s="18"/>
      <c r="C7" s="19"/>
      <c r="D7" s="5"/>
      <c r="E7" s="5"/>
      <c r="F7" s="5"/>
    </row>
    <row x14ac:dyDescent="0.25" r="8" customHeight="1" ht="20.25">
      <c r="A8" s="20" t="s">
        <v>6</v>
      </c>
      <c r="B8" s="21" t="s">
        <v>5</v>
      </c>
      <c r="C8" s="21" t="s">
        <v>7</v>
      </c>
      <c r="D8" s="20" t="s">
        <v>8</v>
      </c>
      <c r="E8" s="22" t="s">
        <v>9</v>
      </c>
      <c r="F8" s="20" t="s">
        <v>10</v>
      </c>
    </row>
    <row x14ac:dyDescent="0.25" r="9" customHeight="1" ht="18.75">
      <c r="A9" s="23">
        <v>0</v>
      </c>
      <c r="B9" s="23">
        <v>0</v>
      </c>
      <c r="C9" s="23">
        <v>0</v>
      </c>
      <c r="D9" s="23">
        <v>0</v>
      </c>
      <c r="E9" s="24">
        <f>C3</f>
      </c>
      <c r="F9" s="23">
        <v>0</v>
      </c>
    </row>
    <row x14ac:dyDescent="0.25" r="10" customHeight="1" ht="18.75">
      <c r="A10" s="23">
        <v>1</v>
      </c>
      <c r="B10" s="24">
        <f>$C$6</f>
      </c>
      <c r="C10" s="25">
        <f>B10-D10</f>
      </c>
      <c r="D10" s="25">
        <f>E9*$C$4/$C$5</f>
      </c>
      <c r="E10" s="25">
        <f>E9-C10</f>
      </c>
      <c r="F10" s="25">
        <f>E9-E10</f>
      </c>
    </row>
    <row x14ac:dyDescent="0.25" r="11" customHeight="1" ht="18.75">
      <c r="A11" s="26">
        <v>2</v>
      </c>
      <c r="B11" s="24">
        <f>$C$6</f>
      </c>
      <c r="C11" s="25">
        <f>B11-D11</f>
      </c>
      <c r="D11" s="25">
        <f>E10*$C$4/$C$5</f>
      </c>
      <c r="E11" s="25">
        <f>E10-C11</f>
      </c>
      <c r="F11" s="25">
        <f>E10-E11</f>
      </c>
    </row>
    <row x14ac:dyDescent="0.25" r="12" customHeight="1" ht="18.75">
      <c r="A12" s="23">
        <v>3</v>
      </c>
      <c r="B12" s="24">
        <f>$C$6</f>
      </c>
      <c r="C12" s="25">
        <f>B12-D12</f>
      </c>
      <c r="D12" s="25">
        <f>E11*$C$4/$C$5</f>
      </c>
      <c r="E12" s="25">
        <f>E11-C12</f>
      </c>
      <c r="F12" s="25">
        <f>E11-E12</f>
      </c>
    </row>
    <row x14ac:dyDescent="0.25" r="13" customHeight="1" ht="18.75">
      <c r="A13" s="23">
        <v>4</v>
      </c>
      <c r="B13" s="24">
        <f>$C$6</f>
      </c>
      <c r="C13" s="25">
        <f>B13-D13</f>
      </c>
      <c r="D13" s="25">
        <f>E12*$C$4/$C$5</f>
      </c>
      <c r="E13" s="25">
        <f>E12-C13</f>
      </c>
      <c r="F13" s="25">
        <f>E12-E13</f>
      </c>
    </row>
    <row x14ac:dyDescent="0.25" r="14" customHeight="1" ht="18.75">
      <c r="A14" s="23">
        <v>5</v>
      </c>
      <c r="B14" s="24">
        <f>$C$6</f>
      </c>
      <c r="C14" s="25">
        <f>B14-D14</f>
      </c>
      <c r="D14" s="25">
        <f>E13*$C$4/$C$5</f>
      </c>
      <c r="E14" s="25">
        <f>E13-C14</f>
      </c>
      <c r="F14" s="25">
        <f>E13-E14</f>
      </c>
    </row>
    <row x14ac:dyDescent="0.25" r="15" customHeight="1" ht="18.75">
      <c r="A15" s="23">
        <v>6</v>
      </c>
      <c r="B15" s="24">
        <f>$C$6</f>
      </c>
      <c r="C15" s="25">
        <f>B15-D15</f>
      </c>
      <c r="D15" s="25">
        <f>E14*$C$4/$C$5</f>
      </c>
      <c r="E15" s="25">
        <f>E14-C15</f>
      </c>
      <c r="F15" s="25">
        <f>E14-E15</f>
      </c>
    </row>
    <row x14ac:dyDescent="0.25" r="16" customHeight="1" ht="18.75">
      <c r="A16" s="23">
        <v>7</v>
      </c>
      <c r="B16" s="24">
        <f>$C$6</f>
      </c>
      <c r="C16" s="25">
        <f>B16-D16</f>
      </c>
      <c r="D16" s="25">
        <f>E15*$C$4/$C$5</f>
      </c>
      <c r="E16" s="25">
        <f>E15-C16</f>
      </c>
      <c r="F16" s="25">
        <f>E15-E16</f>
      </c>
    </row>
    <row x14ac:dyDescent="0.25" r="17" customHeight="1" ht="18.75">
      <c r="A17" s="23">
        <v>8</v>
      </c>
      <c r="B17" s="24">
        <f>$C$6</f>
      </c>
      <c r="C17" s="25">
        <f>B17-D17</f>
      </c>
      <c r="D17" s="25">
        <f>E16*$C$4/$C$5</f>
      </c>
      <c r="E17" s="25">
        <f>E16-C17</f>
      </c>
      <c r="F17" s="25">
        <f>E16-E17</f>
      </c>
    </row>
    <row x14ac:dyDescent="0.25" r="18" customHeight="1" ht="18.75">
      <c r="A18" s="23">
        <v>9</v>
      </c>
      <c r="B18" s="24">
        <f>$C$6</f>
      </c>
      <c r="C18" s="25">
        <f>B18-D18</f>
      </c>
      <c r="D18" s="25">
        <f>E17*$C$4/$C$5</f>
      </c>
      <c r="E18" s="25">
        <f>E17-C18</f>
      </c>
      <c r="F18" s="25">
        <f>E17-E18</f>
      </c>
    </row>
    <row x14ac:dyDescent="0.25" r="19" customHeight="1" ht="18.75">
      <c r="A19" s="23">
        <v>10</v>
      </c>
      <c r="B19" s="24">
        <f>$C$6</f>
      </c>
      <c r="C19" s="25">
        <f>B19-D19</f>
      </c>
      <c r="D19" s="25">
        <f>E18*$C$4/$C$5</f>
      </c>
      <c r="E19" s="25">
        <f>E18-C19</f>
      </c>
      <c r="F19" s="25">
        <f>E18-E19</f>
      </c>
    </row>
    <row x14ac:dyDescent="0.25" r="20" customHeight="1" ht="18.75">
      <c r="A20" s="23">
        <v>11</v>
      </c>
      <c r="B20" s="24">
        <f>$C$6</f>
      </c>
      <c r="C20" s="25">
        <f>B20-D20</f>
      </c>
      <c r="D20" s="25">
        <f>E19*$C$4/$C$5</f>
      </c>
      <c r="E20" s="25">
        <f>E19-C20</f>
      </c>
      <c r="F20" s="25">
        <f>E19-E20</f>
      </c>
    </row>
    <row x14ac:dyDescent="0.25" r="21" customHeight="1" ht="18.75">
      <c r="A21" s="23">
        <v>12</v>
      </c>
      <c r="B21" s="24">
        <f>$C$6</f>
      </c>
      <c r="C21" s="25">
        <f>B21-D21</f>
      </c>
      <c r="D21" s="25">
        <f>E20*$C$4/$C$5</f>
      </c>
      <c r="E21" s="25">
        <f>E20-C21</f>
      </c>
      <c r="F21" s="25">
        <f>E20-E21</f>
      </c>
    </row>
    <row x14ac:dyDescent="0.25" r="22" customHeight="1" ht="20.25">
      <c r="A22" s="4"/>
      <c r="B22" s="5"/>
      <c r="C22" s="5"/>
      <c r="D22" s="27" t="s">
        <v>11</v>
      </c>
      <c r="E22" s="28"/>
      <c r="F22" s="25">
        <f>F10+F11+F12+F13+F14+F15+F16+F17+F18+F19+F20+F21</f>
      </c>
    </row>
  </sheetData>
  <mergeCells count="2">
    <mergeCell ref="A1:F1"/>
    <mergeCell ref="D22:E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Ejercicio 1</vt:lpstr>
      <vt:lpstr>Ejejercicio 2</vt:lpstr>
      <vt:lpstr>Ejericcio 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2024-09-23T17:19:39.612Z</dcterms:created>
  <dcterms:modified xsi:type="dcterms:W3CDTF">2024-09-23T17:19:39.612Z</dcterms:modified>
</cp:coreProperties>
</file>