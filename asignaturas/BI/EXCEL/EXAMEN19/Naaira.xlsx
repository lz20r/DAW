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W\asignaturas\BI\EXCEL\EXAMEN19\"/>
    </mc:Choice>
  </mc:AlternateContent>
  <xr:revisionPtr revIDLastSave="0" documentId="13_ncr:1_{811F31FB-EDB2-49FD-AEA7-8A4DE5EE0C0D}" xr6:coauthVersionLast="36" xr6:coauthVersionMax="47" xr10:uidLastSave="{00000000-0000-0000-0000-000000000000}"/>
  <bookViews>
    <workbookView xWindow="22935" yWindow="-105" windowWidth="23250" windowHeight="12450" tabRatio="560" activeTab="4" xr2:uid="{AE9E8B7B-01CC-4F74-BDA1-D838CC6B9456}"/>
  </bookViews>
  <sheets>
    <sheet name="Instrucciones" sheetId="12" r:id="rId1"/>
    <sheet name="Menu" sheetId="1" r:id="rId2"/>
    <sheet name="15 de noviembre" sheetId="13" state="hidden" r:id="rId3"/>
    <sheet name="Ejercicio1" sheetId="4" r:id="rId4"/>
    <sheet name="Ejercicio 2" sheetId="9" r:id="rId5"/>
    <sheet name="Ejercicio 3A" sheetId="6" r:id="rId6"/>
    <sheet name="Ejercicio 3B" sheetId="7" r:id="rId7"/>
    <sheet name="Ejercicio 3C" sheetId="8" r:id="rId8"/>
    <sheet name="Ejercicio 4" sheetId="14" r:id="rId9"/>
    <sheet name="Ejercicio 5" sheetId="16" r:id="rId10"/>
  </sheets>
  <externalReferences>
    <externalReference r:id="rId11"/>
    <externalReference r:id="rId12"/>
  </externalReferences>
  <definedNames>
    <definedName name="_xlnm._FilterDatabase" localSheetId="2" hidden="1">'15 de noviembre'!$A$3:$G$37</definedName>
    <definedName name="_xlnm._FilterDatabase" localSheetId="5" hidden="1">'Ejercicio 3A'!$A$4:$G$38</definedName>
    <definedName name="_xlnm._FilterDatabase" localSheetId="6" hidden="1">'Ejercicio 3B'!$A$4:$C$38</definedName>
    <definedName name="_xlnm._FilterDatabase" localSheetId="7" hidden="1">'Ejercicio 3C'!$A$4:$G$38</definedName>
    <definedName name="_xlnm._FilterDatabase" localSheetId="9" hidden="1">'Ejercicio 5'!$A$3:$I$98</definedName>
    <definedName name="_xlnm.Criteria" localSheetId="6">'Ejercicio 3B'!$A$4:$B$38</definedName>
    <definedName name="iva">'[1]Ejercicio1 '!$J$1</definedName>
    <definedName name="TIPO_DE_CURSO">'[2]validacion dependiente 1'!$F$3:$F$4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9" l="1"/>
  <c r="E7" i="9"/>
  <c r="E8" i="9"/>
  <c r="E9" i="9"/>
  <c r="E10" i="9"/>
  <c r="E11" i="9"/>
  <c r="E12" i="9"/>
  <c r="E13" i="9"/>
  <c r="E14" i="9"/>
  <c r="E15" i="9"/>
  <c r="E16" i="9"/>
  <c r="E17" i="9"/>
  <c r="E18" i="9"/>
  <c r="E5" i="9"/>
  <c r="G17" i="9"/>
  <c r="G16" i="9"/>
  <c r="G15" i="9"/>
  <c r="G14" i="9"/>
  <c r="G13" i="9"/>
  <c r="G12" i="9"/>
  <c r="G11" i="9"/>
  <c r="G10" i="9"/>
  <c r="G9" i="9"/>
  <c r="G8" i="9"/>
  <c r="G7" i="9"/>
  <c r="G6" i="9"/>
  <c r="G18" i="9"/>
  <c r="G5" i="9"/>
  <c r="D20" i="9"/>
  <c r="C20" i="9"/>
  <c r="C6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5" i="9"/>
  <c r="C7" i="9"/>
  <c r="C8" i="9"/>
  <c r="C9" i="9"/>
  <c r="C10" i="9"/>
  <c r="C11" i="9"/>
  <c r="C12" i="9"/>
  <c r="C13" i="9"/>
  <c r="C14" i="9"/>
  <c r="C15" i="9"/>
  <c r="C16" i="9"/>
  <c r="C17" i="9"/>
  <c r="C18" i="9"/>
  <c r="C5" i="9"/>
  <c r="B12" i="12" l="1"/>
  <c r="I16" i="4"/>
  <c r="B1" i="4" s="1"/>
  <c r="B9" i="12" s="1"/>
  <c r="B1" i="6"/>
  <c r="B1" i="7"/>
  <c r="B11" i="12" s="1"/>
  <c r="J8" i="9"/>
  <c r="B1" i="9" s="1"/>
  <c r="B10" i="12" s="1"/>
  <c r="B1" i="8"/>
  <c r="B1" i="14"/>
  <c r="N6" i="16"/>
  <c r="B1" i="16" s="1"/>
  <c r="B13" i="12" s="1"/>
  <c r="M19" i="16"/>
  <c r="M18" i="16"/>
  <c r="M17" i="16"/>
  <c r="M16" i="16"/>
  <c r="B17" i="12" l="1"/>
  <c r="D17" i="12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</calcChain>
</file>

<file path=xl/sharedStrings.xml><?xml version="1.0" encoding="utf-8"?>
<sst xmlns="http://schemas.openxmlformats.org/spreadsheetml/2006/main" count="2378" uniqueCount="149">
  <si>
    <t>Producto</t>
  </si>
  <si>
    <t>VENDEDOR</t>
  </si>
  <si>
    <t>COCHE</t>
  </si>
  <si>
    <t>VENTAS</t>
  </si>
  <si>
    <t>ZONA</t>
  </si>
  <si>
    <t>SI</t>
  </si>
  <si>
    <t>NORTE</t>
  </si>
  <si>
    <t>NO</t>
  </si>
  <si>
    <t>ESTE</t>
  </si>
  <si>
    <t>Marcos</t>
  </si>
  <si>
    <t xml:space="preserve">Daniel </t>
  </si>
  <si>
    <t>Alejandro</t>
  </si>
  <si>
    <t>Luis Miguel</t>
  </si>
  <si>
    <t>Roberto</t>
  </si>
  <si>
    <t>Nicolas</t>
  </si>
  <si>
    <t>Cesar</t>
  </si>
  <si>
    <t>María</t>
  </si>
  <si>
    <t>Mario</t>
  </si>
  <si>
    <t>Sara</t>
  </si>
  <si>
    <t>POBLACIÓN</t>
  </si>
  <si>
    <t>MADRID</t>
  </si>
  <si>
    <t>BARCELONA</t>
  </si>
  <si>
    <t>SUR</t>
  </si>
  <si>
    <t>NOMBRE</t>
  </si>
  <si>
    <t>PRODUCTO</t>
  </si>
  <si>
    <t>ZONA DE VENTA</t>
  </si>
  <si>
    <t>UNIDADES</t>
  </si>
  <si>
    <t>PRECIO</t>
  </si>
  <si>
    <t>TOTAL</t>
  </si>
  <si>
    <t>FECHA DE LA VENTA</t>
  </si>
  <si>
    <t>JUAN</t>
  </si>
  <si>
    <t>TV</t>
  </si>
  <si>
    <t>MARIA</t>
  </si>
  <si>
    <t>ORDENADOR</t>
  </si>
  <si>
    <t>EVA</t>
  </si>
  <si>
    <t>IMPRESORA</t>
  </si>
  <si>
    <t>PEDRO</t>
  </si>
  <si>
    <t xml:space="preserve">Apellidos </t>
  </si>
  <si>
    <t>Teléfono</t>
  </si>
  <si>
    <t>Nombre</t>
  </si>
  <si>
    <t>TOTAL DE LA VENTA</t>
  </si>
  <si>
    <t>REALIZA LOS EJERCICIOS DE CADA HOJA.</t>
  </si>
  <si>
    <t>En cada hoja viene el enunciado del mismo</t>
  </si>
  <si>
    <t>Al final crea un menú en la hoja menú para poder enlazar con los ejercicios. (y pon formato "bonito")</t>
  </si>
  <si>
    <t>Puntuación de los ejercicios</t>
  </si>
  <si>
    <t xml:space="preserve">Ejercicio1 </t>
  </si>
  <si>
    <t>Ejercicio2</t>
  </si>
  <si>
    <t>Ejercicio3</t>
  </si>
  <si>
    <t>Ejercicio4</t>
  </si>
  <si>
    <t>Ejercicio5</t>
  </si>
  <si>
    <t>Crear el menú y dar formato al documento</t>
  </si>
  <si>
    <t>Enunciado:</t>
  </si>
  <si>
    <t>Realiza los siguientes formatos condicionales</t>
  </si>
  <si>
    <t>Cada pregunta vale 0,25</t>
  </si>
  <si>
    <t>3) La fila donde la zona sea norte, con color de fondo vede.</t>
  </si>
  <si>
    <t>4) Comprueba que los datos de población son correctos, utilizando alguna herramienta de Excel, sabiendo que solo se puede escribir MADRID O BARCELONA</t>
  </si>
  <si>
    <t xml:space="preserve">BARCELONA </t>
  </si>
  <si>
    <t>Filtra las ventas de juan de tv y de eva  de ordenador, donde los totales esten entre 1000 y 3000 €</t>
  </si>
  <si>
    <t>Enunciado :</t>
  </si>
  <si>
    <t>ESCRIBE TU NOMBRE</t>
  </si>
  <si>
    <t>Filtra  los productos en los que su nombre contenga la letra O , en total este entre 1000 y 4000 Euros o sean de Juan y de TV</t>
  </si>
  <si>
    <t>Filtra las ventas de juan de tv o de maria de productos que contengan una o</t>
  </si>
  <si>
    <t>NOTA</t>
  </si>
  <si>
    <t>PRECIO UNIDAD</t>
  </si>
  <si>
    <t xml:space="preserve">Esta tabla muestra los datos de ventas de 2022 y 2024, DE VARIOS PRODUCTOS Y VARIOS VENDEDORES. Se quiere dejar de vender en una de las zonas y de uno de los trabajadores. Crea un informe, que ayude a tomar la decisión con los datos proporcinados. EXPLICA TU RESPUESTA. </t>
  </si>
  <si>
    <t>TRSITAN</t>
  </si>
  <si>
    <t>ADRIAN</t>
  </si>
  <si>
    <t>LIZ</t>
  </si>
  <si>
    <t>CRISTINA</t>
  </si>
  <si>
    <t>Para poner el precio unidad usa la fórmula SI usando la tabla de arriba</t>
  </si>
  <si>
    <t>El total de venta es precio unidad por las unidades</t>
  </si>
  <si>
    <t>FORMATO CONDICIONAL.</t>
  </si>
  <si>
    <t>Si las ventas son de tv  de la zona norte el nombre del vendedor aparece en azil</t>
  </si>
  <si>
    <t>Si el tota de ventas es mayor a 3000 toda la línea es roja</t>
  </si>
  <si>
    <t>*cuida la presentación</t>
  </si>
  <si>
    <t>La mayor venta la hizo eva y la menor la hizo juan</t>
  </si>
  <si>
    <t>TIPOS DE LENGUAJES</t>
  </si>
  <si>
    <t>WEB</t>
  </si>
  <si>
    <t>HTML</t>
  </si>
  <si>
    <t>JAVA</t>
  </si>
  <si>
    <t>CSS</t>
  </si>
  <si>
    <t>C</t>
  </si>
  <si>
    <t>JAVASCRIPT</t>
  </si>
  <si>
    <t>C#</t>
  </si>
  <si>
    <t>PHP</t>
  </si>
  <si>
    <t>COBOL</t>
  </si>
  <si>
    <t>NOMBRE DEL LENGUAJE</t>
  </si>
  <si>
    <t>Python</t>
  </si>
  <si>
    <t>R</t>
  </si>
  <si>
    <t>Pais</t>
  </si>
  <si>
    <t>vendedor</t>
  </si>
  <si>
    <t>Cantidad vendida</t>
  </si>
  <si>
    <t>Ingresos</t>
  </si>
  <si>
    <t xml:space="preserve">Presupuesto </t>
  </si>
  <si>
    <t>Fecha</t>
  </si>
  <si>
    <t>Mes</t>
  </si>
  <si>
    <t>francia</t>
  </si>
  <si>
    <t>David</t>
  </si>
  <si>
    <t>D</t>
  </si>
  <si>
    <t>Abr</t>
  </si>
  <si>
    <t>españa</t>
  </si>
  <si>
    <t>Victor</t>
  </si>
  <si>
    <t>A</t>
  </si>
  <si>
    <t>Francisco</t>
  </si>
  <si>
    <t>B</t>
  </si>
  <si>
    <t>portugal</t>
  </si>
  <si>
    <t>Ene</t>
  </si>
  <si>
    <t>Feb</t>
  </si>
  <si>
    <t>Jun</t>
  </si>
  <si>
    <t>Mar</t>
  </si>
  <si>
    <t>May</t>
  </si>
  <si>
    <t>1) Las celdas donde ponga Madrid y de la zona SUR, en la columna de problación que aparezcan el texto en rojo</t>
  </si>
  <si>
    <t>2) El nombre de los vendedores que su nombre empiece con M el color de texto azul.</t>
  </si>
  <si>
    <t>BARECLONA</t>
  </si>
  <si>
    <t>MARDID</t>
  </si>
  <si>
    <t xml:space="preserve">Tenemos los siguientes datos. Se quiere analizar </t>
  </si>
  <si>
    <t>Se quiere conocer el numero de ventas por vendedor y producto.</t>
  </si>
  <si>
    <t>Se quiere saber como van los ingresos de productos por pais y mes.</t>
  </si>
  <si>
    <t>Analiza los resultados y comenta algún resultado que te permita tomar alguna decisión sobre los paises o los vendedores.</t>
  </si>
  <si>
    <t>OTROS</t>
  </si>
  <si>
    <t>Cada filtro 0,33</t>
  </si>
  <si>
    <t>Separa utilizando funciones de excel el nombre de los apellidos y del teléfono (Puedes usar columnas adicionales). Si el telefono es fijo, el nombre se pondrá en azul</t>
  </si>
  <si>
    <t>Realiza los filtros indicados (cada filtro puntua 0,33)</t>
  </si>
  <si>
    <t>0,25 CADA UNA</t>
  </si>
  <si>
    <t>INGRESOS PAIS / MES</t>
  </si>
  <si>
    <t>UNIDADES VEND/PRODUCTO</t>
  </si>
  <si>
    <t xml:space="preserve">Análisis de datos </t>
  </si>
  <si>
    <t>validación</t>
  </si>
  <si>
    <t>nombre</t>
  </si>
  <si>
    <t>Apellidos</t>
  </si>
  <si>
    <t>LOPEZ, GONZALEZ, SARA ALEJANDRA,666666661</t>
  </si>
  <si>
    <t>AHMED, MONNE, MARCOS,666666662</t>
  </si>
  <si>
    <t>GARCIA, SERRANO, MARCOS,666666663</t>
  </si>
  <si>
    <t>GARCIA, LAPEÑA, DANIEL,666666664</t>
  </si>
  <si>
    <t>CONDE, MORALES, ALEJANDRO,666666665</t>
  </si>
  <si>
    <t>LABRADA, ORTEGA, LUIS MIGUEL,666666666</t>
  </si>
  <si>
    <t>BELTRE, CARMONA, LUIS ANGEL,666666667</t>
  </si>
  <si>
    <t>MUÑOZ, ZORRO, ROBERTO,666666668</t>
  </si>
  <si>
    <t>TEXEIRA, BARBA, JOSE ANTONIO,666666669</t>
  </si>
  <si>
    <t>CARDENAS, RODRIGUEZ, NICOLAS,666666670</t>
  </si>
  <si>
    <t>SOBRINO, ARRIBAS, CESAR,666666671</t>
  </si>
  <si>
    <t>TORRES, MARTINEZ, MARIA,666666672</t>
  </si>
  <si>
    <t>NAVARRO, VALLEJO, MARIO,666666673</t>
  </si>
  <si>
    <t>OCHOVO, QUERO, ALEJANDRO,666666674</t>
  </si>
  <si>
    <t>formato condicional</t>
  </si>
  <si>
    <t>Nota alumno</t>
  </si>
  <si>
    <t>valor de la ,</t>
  </si>
  <si>
    <t>tamaño</t>
  </si>
  <si>
    <t>naiara, lezameta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</si>
</sst>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4" fontId="0" fillId="0" borderId="1" xfId="0" applyNumberFormat="1" applyBorder="1"/>
    <xf numFmtId="0" fontId="0" fillId="5" borderId="1" xfId="0" applyFill="1" applyBorder="1"/>
    <xf numFmtId="0" fontId="1" fillId="0" borderId="0" xfId="0" applyFont="1"/>
    <xf numFmtId="0" fontId="0" fillId="6" borderId="1" xfId="0" applyFill="1" applyBorder="1"/>
    <xf numFmtId="164" fontId="0" fillId="6" borderId="1" xfId="0" applyNumberFormat="1" applyFill="1" applyBorder="1"/>
    <xf numFmtId="49" fontId="0" fillId="0" borderId="0" xfId="0" applyNumberForma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5" borderId="1" xfId="0" applyFill="1" applyBorder="1" applyProtection="1"/>
    <xf numFmtId="0" fontId="0" fillId="0" borderId="1" xfId="0" applyBorder="1" applyProtection="1"/>
    <xf numFmtId="0" fontId="2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14" fontId="2" fillId="4" borderId="1" xfId="0" applyNumberFormat="1" applyFont="1" applyFill="1" applyBorder="1" applyProtection="1">
      <protection locked="0"/>
    </xf>
    <xf numFmtId="1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" fillId="7" borderId="3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" fillId="7" borderId="3" xfId="0" applyFont="1" applyFill="1" applyBorder="1" applyProtection="1">
      <protection locked="0"/>
    </xf>
    <xf numFmtId="0" fontId="0" fillId="0" borderId="6" xfId="0" applyBorder="1" applyProtection="1">
      <protection locked="0"/>
    </xf>
    <xf numFmtId="0" fontId="1" fillId="7" borderId="7" xfId="0" applyFont="1" applyFill="1" applyBorder="1" applyProtection="1">
      <protection locked="0"/>
    </xf>
    <xf numFmtId="0" fontId="0" fillId="0" borderId="8" xfId="0" applyBorder="1" applyProtection="1">
      <protection locked="0"/>
    </xf>
    <xf numFmtId="0" fontId="4" fillId="0" borderId="0" xfId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0" fillId="0" borderId="1" xfId="0" applyFill="1" applyBorder="1" applyProtection="1">
      <protection locked="0"/>
    </xf>
    <xf numFmtId="0" fontId="0" fillId="0" borderId="0" xfId="0" applyProtection="1"/>
    <xf numFmtId="0" fontId="3" fillId="0" borderId="0" xfId="0" applyFont="1" applyAlignment="1">
      <alignment horizontal="center" vertical="top" wrapText="1"/>
    </xf>
    <xf numFmtId="0" fontId="5" fillId="0" borderId="0" xfId="0" applyFont="1"/>
    <xf numFmtId="0" fontId="0" fillId="0" borderId="0" xfId="0" applyAlignment="1" applyProtection="1">
      <alignment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0" fillId="0" borderId="0" xfId="0" applyBorder="1" applyAlignment="1" applyProtection="1">
      <alignment vertical="center"/>
      <protection locked="0"/>
    </xf>
    <xf numFmtId="0" fontId="0" fillId="0" borderId="1" xfId="0" applyBorder="1" applyAlignment="1" applyProtection="1">
      <protection locked="0"/>
    </xf>
  </cellXfs>
  <cellStyles count="2">
    <cellStyle name="Hipervínculo" xfId="1" builtinId="8"/>
    <cellStyle name="Normal" xfId="0" builtinId="0"/>
  </cellStyles>
  <dxfs count="16">
    <dxf>
      <fill>
        <patternFill>
          <bgColor theme="9" tint="0.39994506668294322"/>
        </patternFill>
      </fill>
    </dxf>
    <dxf>
      <font>
        <color theme="4"/>
      </font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  <protection locked="0" hidden="0"/>
    </dxf>
    <dxf>
      <numFmt numFmtId="19" formatCode="dd/mm/yyyy"/>
      <protection locked="0" hidden="0"/>
    </dxf>
    <dxf>
      <numFmt numFmtId="164" formatCode="#,##0.00\ &quot;€&quot;"/>
      <protection locked="0" hidden="0"/>
    </dxf>
    <dxf>
      <numFmt numFmtId="164" formatCode="#,##0.00\ &quot;€&quot;"/>
      <protection locked="0" hidden="0"/>
    </dxf>
    <dxf>
      <numFmt numFmtId="0" formatCode="General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Ejercicio 5'!A1"/><Relationship Id="rId3" Type="http://schemas.openxmlformats.org/officeDocument/2006/relationships/hyperlink" Target="#'Ejercicio 2'!A1"/><Relationship Id="rId7" Type="http://schemas.openxmlformats.org/officeDocument/2006/relationships/hyperlink" Target="#'Ejercicio 3B'!A1"/><Relationship Id="rId2" Type="http://schemas.openxmlformats.org/officeDocument/2006/relationships/hyperlink" Target="#Ejercicio1!A1"/><Relationship Id="rId1" Type="http://schemas.openxmlformats.org/officeDocument/2006/relationships/hyperlink" Target="#Menu!A1"/><Relationship Id="rId6" Type="http://schemas.openxmlformats.org/officeDocument/2006/relationships/hyperlink" Target="#'Ejercicio 3C'!A1"/><Relationship Id="rId5" Type="http://schemas.openxmlformats.org/officeDocument/2006/relationships/hyperlink" Target="#'Ejercicio 4'!A1"/><Relationship Id="rId4" Type="http://schemas.openxmlformats.org/officeDocument/2006/relationships/hyperlink" Target="#'Ejercicio 3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jercicio 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jercicio 3A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jercicio 3B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jercicio 3C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Ejercicio 4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Ejercicio 5'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8</xdr:row>
      <xdr:rowOff>0</xdr:rowOff>
    </xdr:from>
    <xdr:to>
      <xdr:col>10</xdr:col>
      <xdr:colOff>742950</xdr:colOff>
      <xdr:row>9</xdr:row>
      <xdr:rowOff>66675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39EBD-4362-4DE7-9DF6-98F420D35363}"/>
            </a:ext>
          </a:extLst>
        </xdr:cNvPr>
        <xdr:cNvSpPr/>
      </xdr:nvSpPr>
      <xdr:spPr>
        <a:xfrm>
          <a:off x="6734175" y="1524000"/>
          <a:ext cx="1628775" cy="2571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tx1"/>
              </a:solidFill>
              <a:latin typeface="Bahnschrift" panose="020B0502040204020203" pitchFamily="34" charset="0"/>
            </a:rPr>
            <a:t>Ejercicios</a:t>
          </a:r>
        </a:p>
      </xdr:txBody>
    </xdr:sp>
    <xdr:clientData/>
  </xdr:twoCellAnchor>
  <xdr:twoCellAnchor>
    <xdr:from>
      <xdr:col>7</xdr:col>
      <xdr:colOff>685800</xdr:colOff>
      <xdr:row>11</xdr:row>
      <xdr:rowOff>38100</xdr:rowOff>
    </xdr:from>
    <xdr:to>
      <xdr:col>9</xdr:col>
      <xdr:colOff>285750</xdr:colOff>
      <xdr:row>14</xdr:row>
      <xdr:rowOff>85725</xdr:rowOff>
    </xdr:to>
    <xdr:sp macro="" textlink="">
      <xdr:nvSpPr>
        <xdr:cNvPr id="9" name="Rectá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90EE4E-7936-4251-8535-19B5C6F2E35C}"/>
            </a:ext>
          </a:extLst>
        </xdr:cNvPr>
        <xdr:cNvSpPr/>
      </xdr:nvSpPr>
      <xdr:spPr>
        <a:xfrm>
          <a:off x="6019800" y="2133600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</a:rPr>
            <a:t>Ejercicio 1</a:t>
          </a:r>
        </a:p>
      </xdr:txBody>
    </xdr:sp>
    <xdr:clientData/>
  </xdr:twoCellAnchor>
  <xdr:twoCellAnchor>
    <xdr:from>
      <xdr:col>10</xdr:col>
      <xdr:colOff>561975</xdr:colOff>
      <xdr:row>11</xdr:row>
      <xdr:rowOff>38100</xdr:rowOff>
    </xdr:from>
    <xdr:to>
      <xdr:col>12</xdr:col>
      <xdr:colOff>161925</xdr:colOff>
      <xdr:row>14</xdr:row>
      <xdr:rowOff>85725</xdr:rowOff>
    </xdr:to>
    <xdr:sp macro="" textlink="">
      <xdr:nvSpPr>
        <xdr:cNvPr id="10" name="Rectá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071D20-779A-45DA-8534-0B2D1D387AC4}"/>
            </a:ext>
          </a:extLst>
        </xdr:cNvPr>
        <xdr:cNvSpPr/>
      </xdr:nvSpPr>
      <xdr:spPr>
        <a:xfrm>
          <a:off x="8181975" y="2133600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2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190500</xdr:colOff>
      <xdr:row>16</xdr:row>
      <xdr:rowOff>57150</xdr:rowOff>
    </xdr:from>
    <xdr:to>
      <xdr:col>8</xdr:col>
      <xdr:colOff>552450</xdr:colOff>
      <xdr:row>19</xdr:row>
      <xdr:rowOff>104775</xdr:rowOff>
    </xdr:to>
    <xdr:sp macro="" textlink="">
      <xdr:nvSpPr>
        <xdr:cNvPr id="14" name="Rectá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B9E82E-D3D3-476C-9305-FB9D72CB5D3D}"/>
            </a:ext>
          </a:extLst>
        </xdr:cNvPr>
        <xdr:cNvSpPr/>
      </xdr:nvSpPr>
      <xdr:spPr>
        <a:xfrm>
          <a:off x="5524500" y="3105150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3A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704850</xdr:colOff>
      <xdr:row>20</xdr:row>
      <xdr:rowOff>114300</xdr:rowOff>
    </xdr:from>
    <xdr:to>
      <xdr:col>9</xdr:col>
      <xdr:colOff>304800</xdr:colOff>
      <xdr:row>23</xdr:row>
      <xdr:rowOff>161925</xdr:rowOff>
    </xdr:to>
    <xdr:sp macro="" textlink="">
      <xdr:nvSpPr>
        <xdr:cNvPr id="15" name="Rectá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A03DAB-6CCE-4902-811D-539111D501FD}"/>
            </a:ext>
          </a:extLst>
        </xdr:cNvPr>
        <xdr:cNvSpPr/>
      </xdr:nvSpPr>
      <xdr:spPr>
        <a:xfrm>
          <a:off x="6038850" y="3924300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4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161925</xdr:colOff>
      <xdr:row>16</xdr:row>
      <xdr:rowOff>28575</xdr:rowOff>
    </xdr:from>
    <xdr:to>
      <xdr:col>12</xdr:col>
      <xdr:colOff>523875</xdr:colOff>
      <xdr:row>19</xdr:row>
      <xdr:rowOff>76200</xdr:rowOff>
    </xdr:to>
    <xdr:sp macro="" textlink="">
      <xdr:nvSpPr>
        <xdr:cNvPr id="16" name="Rectá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A578C8-62D9-485F-88E5-E427BB5DF52B}"/>
            </a:ext>
          </a:extLst>
        </xdr:cNvPr>
        <xdr:cNvSpPr/>
      </xdr:nvSpPr>
      <xdr:spPr>
        <a:xfrm>
          <a:off x="8543925" y="3076575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3C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238125</xdr:colOff>
      <xdr:row>16</xdr:row>
      <xdr:rowOff>28575</xdr:rowOff>
    </xdr:from>
    <xdr:to>
      <xdr:col>10</xdr:col>
      <xdr:colOff>600075</xdr:colOff>
      <xdr:row>19</xdr:row>
      <xdr:rowOff>76200</xdr:rowOff>
    </xdr:to>
    <xdr:sp macro="" textlink="">
      <xdr:nvSpPr>
        <xdr:cNvPr id="17" name="Rectángul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4DE574-800D-4CAC-8EB3-FEA170D4EAA5}"/>
            </a:ext>
          </a:extLst>
        </xdr:cNvPr>
        <xdr:cNvSpPr/>
      </xdr:nvSpPr>
      <xdr:spPr>
        <a:xfrm>
          <a:off x="7096125" y="3076575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3B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247650</xdr:colOff>
      <xdr:row>20</xdr:row>
      <xdr:rowOff>142875</xdr:rowOff>
    </xdr:from>
    <xdr:to>
      <xdr:col>11</xdr:col>
      <xdr:colOff>609600</xdr:colOff>
      <xdr:row>24</xdr:row>
      <xdr:rowOff>0</xdr:rowOff>
    </xdr:to>
    <xdr:sp macro="" textlink="">
      <xdr:nvSpPr>
        <xdr:cNvPr id="18" name="Rectángulo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EDC0E9F-4BF1-449C-A524-24060B34DADC}"/>
            </a:ext>
          </a:extLst>
        </xdr:cNvPr>
        <xdr:cNvSpPr/>
      </xdr:nvSpPr>
      <xdr:spPr>
        <a:xfrm>
          <a:off x="7867650" y="3952875"/>
          <a:ext cx="1123950" cy="619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Ejercicio 5</a:t>
          </a:r>
          <a:endParaRPr lang="es-E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157369</xdr:colOff>
      <xdr:row>17</xdr:row>
      <xdr:rowOff>124239</xdr:rowOff>
    </xdr:from>
    <xdr:to>
      <xdr:col>11</xdr:col>
      <xdr:colOff>604630</xdr:colOff>
      <xdr:row>17</xdr:row>
      <xdr:rowOff>124239</xdr:rowOff>
    </xdr:to>
    <xdr:cxnSp macro="">
      <xdr:nvCxnSpPr>
        <xdr:cNvPr id="3" name="Conector recto de flech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A299C-6505-412F-BBA6-ADCC34DFBE4A}"/>
            </a:ext>
          </a:extLst>
        </xdr:cNvPr>
        <xdr:cNvCxnSpPr/>
      </xdr:nvCxnSpPr>
      <xdr:spPr>
        <a:xfrm>
          <a:off x="12034630" y="3743739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21</xdr:row>
      <xdr:rowOff>0</xdr:rowOff>
    </xdr:from>
    <xdr:to>
      <xdr:col>13</xdr:col>
      <xdr:colOff>637761</xdr:colOff>
      <xdr:row>21</xdr:row>
      <xdr:rowOff>0</xdr:rowOff>
    </xdr:to>
    <xdr:cxnSp macro="">
      <xdr:nvCxnSpPr>
        <xdr:cNvPr id="3" name="Conector recto de flech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57C96-034A-4988-8931-0F637C09B5BA}"/>
            </a:ext>
          </a:extLst>
        </xdr:cNvPr>
        <xdr:cNvCxnSpPr/>
      </xdr:nvCxnSpPr>
      <xdr:spPr>
        <a:xfrm>
          <a:off x="13335000" y="4000500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28</xdr:row>
      <xdr:rowOff>180975</xdr:rowOff>
    </xdr:from>
    <xdr:to>
      <xdr:col>11</xdr:col>
      <xdr:colOff>513936</xdr:colOff>
      <xdr:row>28</xdr:row>
      <xdr:rowOff>180975</xdr:rowOff>
    </xdr:to>
    <xdr:cxnSp macro="">
      <xdr:nvCxnSpPr>
        <xdr:cNvPr id="2" name="Conector recto de flech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C029A0-DC22-40FF-A603-5B415CB8713D}"/>
            </a:ext>
          </a:extLst>
        </xdr:cNvPr>
        <xdr:cNvCxnSpPr/>
      </xdr:nvCxnSpPr>
      <xdr:spPr>
        <a:xfrm>
          <a:off x="10725150" y="2276475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133350</xdr:colOff>
      <xdr:row>36</xdr:row>
      <xdr:rowOff>123825</xdr:rowOff>
    </xdr:from>
    <xdr:to>
      <xdr:col>16</xdr:col>
      <xdr:colOff>580611</xdr:colOff>
      <xdr:row>36</xdr:row>
      <xdr:rowOff>123825</xdr:rowOff>
    </xdr:to>
    <xdr:cxnSp macro="">
      <xdr:nvCxnSpPr>
        <xdr:cNvPr id="2" name="Conector recto de flech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E7321-41A5-4010-8CF6-3CB3E963709B}"/>
            </a:ext>
          </a:extLst>
        </xdr:cNvPr>
        <xdr:cNvCxnSpPr/>
      </xdr:nvCxnSpPr>
      <xdr:spPr>
        <a:xfrm>
          <a:off x="12306300" y="3933825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180975</xdr:colOff>
      <xdr:row>54</xdr:row>
      <xdr:rowOff>114300</xdr:rowOff>
    </xdr:from>
    <xdr:to>
      <xdr:col>18</xdr:col>
      <xdr:colOff>628236</xdr:colOff>
      <xdr:row>54</xdr:row>
      <xdr:rowOff>114300</xdr:rowOff>
    </xdr:to>
    <xdr:cxnSp macro="">
      <xdr:nvCxnSpPr>
        <xdr:cNvPr id="2" name="Conector recto de flech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8CA16-196C-47D1-B066-5A89F5FD0DBD}"/>
            </a:ext>
          </a:extLst>
        </xdr:cNvPr>
        <xdr:cNvCxnSpPr/>
      </xdr:nvCxnSpPr>
      <xdr:spPr>
        <a:xfrm>
          <a:off x="13811250" y="4114800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697395</xdr:colOff>
      <xdr:row>5</xdr:row>
      <xdr:rowOff>128910</xdr:rowOff>
    </xdr:from>
    <xdr:to>
      <xdr:col>4</xdr:col>
      <xdr:colOff>465131</xdr:colOff>
      <xdr:row>8</xdr:row>
      <xdr:rowOff>145763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644A359-E3AB-48A3-A112-6D42776659EB}"/>
            </a:ext>
          </a:extLst>
        </xdr:cNvPr>
        <xdr:cNvSpPr/>
      </xdr:nvSpPr>
      <xdr:spPr>
        <a:xfrm>
          <a:off x="697395" y="1025381"/>
          <a:ext cx="3801854" cy="55473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CREA</a:t>
          </a:r>
          <a:r>
            <a:rPr lang="es-ES" sz="1100" baseline="0"/>
            <a:t> VALIDACIONES DE DATOS DEPENDIENTES EN LAS CELDAS D10 Y D11, CON LOS VALORES DE LA PARTE DERECHA.</a:t>
          </a:r>
          <a:endParaRPr lang="es-ES" sz="1100"/>
        </a:p>
      </xdr:txBody>
    </xdr:sp>
    <xdr:clientData/>
  </xdr:twoCellAnchor>
  <xdr:twoCellAnchor editAs="oneCell">
    <xdr:from>
      <xdr:col>7</xdr:col>
      <xdr:colOff>588288</xdr:colOff>
      <xdr:row>0</xdr:row>
      <xdr:rowOff>0</xdr:rowOff>
    </xdr:from>
    <xdr:to>
      <xdr:col>11</xdr:col>
      <xdr:colOff>654254</xdr:colOff>
      <xdr:row>4</xdr:row>
      <xdr:rowOff>95250</xdr:rowOff>
    </xdr:to>
    <xdr:pic>
      <xdr:nvPicPr>
        <xdr:cNvPr id="3" name="Imagen 2" descr="Resultado de imagen de LENGUAJES DE PROGRAMACION">
          <a:extLst>
            <a:ext uri="{FF2B5EF4-FFF2-40B4-BE49-F238E27FC236}">
              <a16:creationId xmlns:a16="http://schemas.microsoft.com/office/drawing/2014/main" id="{6B66A86E-5288-4835-ACF7-CBBF178647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775"/>
        <a:stretch/>
      </xdr:blipFill>
      <xdr:spPr bwMode="auto">
        <a:xfrm>
          <a:off x="6200194" y="0"/>
          <a:ext cx="3920789" cy="812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59121</xdr:colOff>
      <xdr:row>16</xdr:row>
      <xdr:rowOff>105103</xdr:rowOff>
    </xdr:from>
    <xdr:to>
      <xdr:col>13</xdr:col>
      <xdr:colOff>506382</xdr:colOff>
      <xdr:row>16</xdr:row>
      <xdr:rowOff>105103</xdr:rowOff>
    </xdr:to>
    <xdr:cxnSp macro="">
      <xdr:nvCxnSpPr>
        <xdr:cNvPr id="4" name="Conector recto de flecha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840B77-E234-417F-BB4D-B25F76359D18}"/>
            </a:ext>
          </a:extLst>
        </xdr:cNvPr>
        <xdr:cNvCxnSpPr/>
      </xdr:nvCxnSpPr>
      <xdr:spPr>
        <a:xfrm>
          <a:off x="11377449" y="3166241"/>
          <a:ext cx="4472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291353</xdr:colOff>
      <xdr:row>24</xdr:row>
      <xdr:rowOff>112058</xdr:rowOff>
    </xdr:from>
    <xdr:to>
      <xdr:col>22</xdr:col>
      <xdr:colOff>78442</xdr:colOff>
      <xdr:row>24</xdr:row>
      <xdr:rowOff>112059</xdr:rowOff>
    </xdr:to>
    <xdr:cxnSp macro="">
      <xdr:nvCxnSpPr>
        <xdr:cNvPr id="2" name="Conector recto de flech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BB2D9-F23B-403F-BDC9-4D3B0B203595}"/>
            </a:ext>
          </a:extLst>
        </xdr:cNvPr>
        <xdr:cNvCxnSpPr/>
      </xdr:nvCxnSpPr>
      <xdr:spPr>
        <a:xfrm flipH="1">
          <a:off x="18254382" y="4684058"/>
          <a:ext cx="39220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d6ba2597ce94d1c/0%20Asig%20Sergio/2%20BIG%20DATA%20I/1%20evaluacion/EXAMEN%201&#186;%20EVALUACION/ExamenBigData/vistos/NOTAS/Examen%201%20Evaluacion%20David%20Rodrigu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ergi/Dropbox/1%20fp%20cdm%20sergio/CURSO%20DE%20EXCEL%20CDM/alumnos/Ultimo%20d&#237;a/Ejercicios%20alumnos%20CDM%20%20&#250;ltimo%20d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6 (2)"/>
      <sheetName val="Instrucciones"/>
      <sheetName val="Menu"/>
      <sheetName val="Ejercicio1 "/>
      <sheetName val="Ejercicio2"/>
      <sheetName val="Ejercicio 3"/>
      <sheetName val="Ejercicio 4"/>
      <sheetName val="Ejercicio 5"/>
      <sheetName val="Ejercicio6"/>
      <sheetName val="solucionario"/>
    </sheetNames>
    <sheetDataSet>
      <sheetData sheetId="0">
        <row r="3">
          <cell r="D3" t="str">
            <v>TOTAL DE LA VENTA</v>
          </cell>
        </row>
      </sheetData>
      <sheetData sheetId="1"/>
      <sheetData sheetId="2"/>
      <sheetData sheetId="3">
        <row r="1">
          <cell r="J1">
            <v>0.21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Hoja10"/>
      <sheetName val="Proteger Excel"/>
      <sheetName val="tab dinámicas"/>
      <sheetName val="t1"/>
      <sheetName val="t2"/>
      <sheetName val="t3"/>
      <sheetName val="t3 (2)"/>
      <sheetName val="horas"/>
      <sheetName val="validacion dependiente 1"/>
      <sheetName val="validacion dependiente 2"/>
      <sheetName val="buscarv avanzado"/>
      <sheetName val="Repaso condicionales"/>
      <sheetName val="Filtros1"/>
      <sheetName val="Filtros2"/>
      <sheetName val="Filtros3"/>
      <sheetName val="POSIBLES VAL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F3" t="str">
            <v>DSP</v>
          </cell>
        </row>
        <row r="4">
          <cell r="F4" t="str">
            <v>OC</v>
          </cell>
        </row>
      </sheetData>
      <sheetData sheetId="10">
        <row r="3">
          <cell r="H3" t="str">
            <v>MASCULINO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C38F7-BC55-4F52-8FFF-6536D1B33BB7}" name="Tabla1" displayName="Tabla1" ref="A3:I98" totalsRowShown="0" headerRowDxfId="15" dataDxfId="14">
  <autoFilter ref="A3:I98" xr:uid="{00000000-0009-0000-0100-000001000000}"/>
  <sortState ref="A4:K98">
    <sortCondition ref="I3:I98"/>
  </sortState>
  <tableColumns count="9">
    <tableColumn id="2" xr3:uid="{1E9847A3-CCEE-4E62-997C-2596EF3E3D3A}" name="Pais" dataDxfId="13"/>
    <tableColumn id="4" xr3:uid="{2AAD3206-D053-4292-9463-D191DD1E2391}" name="vendedor" dataDxfId="12"/>
    <tableColumn id="5" xr3:uid="{8B154945-4C11-4516-ABEE-0BCFBF9D0E86}" name="Producto" dataDxfId="11"/>
    <tableColumn id="6" xr3:uid="{A4B28ED3-CDB0-4E8A-B3D0-31AF2DF7D6B6}" name="Cantidad vendida" dataDxfId="10"/>
    <tableColumn id="1" xr3:uid="{4756F5B6-9799-4819-AD69-C1EFD8C35F78}" name="PRECIO UNIDAD" dataDxfId="9"/>
    <tableColumn id="7" xr3:uid="{79F6A9F3-E7A7-44D1-A410-F65B9D0FB5A9}" name="Ingresos" dataDxfId="8"/>
    <tableColumn id="8" xr3:uid="{D057D720-7C7D-48A3-9561-898B282EA99D}" name="Presupuesto " dataDxfId="7"/>
    <tableColumn id="9" xr3:uid="{31EB9F07-C866-4256-9E83-628ACE607237}" name="Fecha" dataDxfId="6"/>
    <tableColumn id="10" xr3:uid="{73A0B225-E688-4443-BD02-541061CAEEA6}" name="M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999D-30BC-40FE-9E75-8936A16468B5}">
  <dimension ref="B1:E17"/>
  <sheetViews>
    <sheetView topLeftCell="A4" zoomScale="175" zoomScaleNormal="175" workbookViewId="0">
      <selection activeCell="D19" sqref="D19"/>
    </sheetView>
  </sheetViews>
  <sheetFormatPr baseColWidth="10" defaultRowHeight="15" x14ac:dyDescent="0.25"/>
  <cols>
    <col min="2" max="2" width="12.42578125" bestFit="1" customWidth="1"/>
    <col min="4" max="4" width="18.7109375" bestFit="1" customWidth="1"/>
  </cols>
  <sheetData>
    <row r="1" spans="2:5" x14ac:dyDescent="0.25">
      <c r="D1" t="s">
        <v>59</v>
      </c>
    </row>
    <row r="3" spans="2:5" x14ac:dyDescent="0.25">
      <c r="C3" t="s">
        <v>41</v>
      </c>
    </row>
    <row r="4" spans="2:5" x14ac:dyDescent="0.25">
      <c r="C4" t="s">
        <v>42</v>
      </c>
    </row>
    <row r="5" spans="2:5" x14ac:dyDescent="0.25">
      <c r="C5" t="s">
        <v>43</v>
      </c>
    </row>
    <row r="8" spans="2:5" x14ac:dyDescent="0.25">
      <c r="B8" t="s">
        <v>145</v>
      </c>
      <c r="C8" t="s">
        <v>44</v>
      </c>
    </row>
    <row r="9" spans="2:5" x14ac:dyDescent="0.25">
      <c r="B9">
        <f>+Ejercicio1!B1</f>
        <v>0</v>
      </c>
      <c r="C9" t="s">
        <v>45</v>
      </c>
      <c r="D9">
        <v>1</v>
      </c>
      <c r="E9" t="s">
        <v>50</v>
      </c>
    </row>
    <row r="10" spans="2:5" x14ac:dyDescent="0.25">
      <c r="B10">
        <f>+'Ejercicio 2'!B1</f>
        <v>0</v>
      </c>
      <c r="C10" t="s">
        <v>46</v>
      </c>
      <c r="D10">
        <v>1.5</v>
      </c>
    </row>
    <row r="11" spans="2:5" x14ac:dyDescent="0.25">
      <c r="B11">
        <f>+'Ejercicio 3A'!B1+'Ejercicio 3B'!B1+'Ejercicio 3C'!B1</f>
        <v>0</v>
      </c>
      <c r="C11" t="s">
        <v>47</v>
      </c>
      <c r="D11">
        <v>1</v>
      </c>
      <c r="E11" t="s">
        <v>120</v>
      </c>
    </row>
    <row r="12" spans="2:5" x14ac:dyDescent="0.25">
      <c r="B12">
        <f>+'Ejercicio 4'!B1</f>
        <v>0</v>
      </c>
      <c r="C12" t="s">
        <v>48</v>
      </c>
      <c r="D12">
        <v>2</v>
      </c>
    </row>
    <row r="13" spans="2:5" x14ac:dyDescent="0.25">
      <c r="B13">
        <f>+'Ejercicio 5'!B1</f>
        <v>0</v>
      </c>
      <c r="C13" t="s">
        <v>49</v>
      </c>
      <c r="D13">
        <v>4.5</v>
      </c>
    </row>
    <row r="17" spans="2:4" x14ac:dyDescent="0.25">
      <c r="B17">
        <f>SUM(B9:B16)</f>
        <v>0</v>
      </c>
      <c r="D17">
        <f>SUM(D9:D16)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8A0-F1EC-4ED6-BC67-7EB5F1300999}">
  <dimension ref="J8"/>
  <sheetViews>
    <sheetView showGridLines="0" workbookViewId="0"/>
  </sheetViews>
  <sheetFormatPr baseColWidth="10" defaultRowHeight="15" x14ac:dyDescent="0.25"/>
  <sheetData>
    <row r="8" spans="10:10" x14ac:dyDescent="0.25">
      <c r="J8" s="3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89BB-9F40-4C50-B5EF-6B137A42EB05}">
  <dimension ref="A1:P500"/>
  <sheetViews>
    <sheetView zoomScale="85" zoomScaleNormal="85" workbookViewId="0">
      <selection sqref="A1:XFD1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15.28515625" bestFit="1" customWidth="1"/>
    <col min="4" max="5" width="15.28515625" customWidth="1"/>
    <col min="6" max="6" width="18" customWidth="1"/>
    <col min="7" max="7" width="20.42578125" customWidth="1"/>
    <col min="12" max="12" width="14.5703125" customWidth="1"/>
    <col min="14" max="15" width="13.5703125" bestFit="1" customWidth="1"/>
    <col min="17" max="17" width="13.5703125" bestFit="1" customWidth="1"/>
    <col min="19" max="19" width="13.5703125" bestFit="1" customWidth="1"/>
  </cols>
  <sheetData>
    <row r="1" spans="1:16" x14ac:dyDescent="0.25">
      <c r="A1" s="1" t="s">
        <v>62</v>
      </c>
      <c r="B1" s="5"/>
    </row>
    <row r="2" spans="1:16" x14ac:dyDescent="0.25">
      <c r="C2" t="s">
        <v>58</v>
      </c>
    </row>
    <row r="3" spans="1:16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63</v>
      </c>
      <c r="F3" s="3" t="s">
        <v>40</v>
      </c>
      <c r="G3" s="3" t="s">
        <v>29</v>
      </c>
      <c r="H3" s="6"/>
      <c r="I3" s="36" t="s">
        <v>64</v>
      </c>
      <c r="J3" s="36"/>
      <c r="K3" s="36"/>
      <c r="L3" s="36"/>
      <c r="M3" s="36"/>
      <c r="N3" s="36"/>
      <c r="O3" s="36"/>
      <c r="P3" s="36"/>
    </row>
    <row r="4" spans="1:16" x14ac:dyDescent="0.25">
      <c r="A4" s="1" t="s">
        <v>65</v>
      </c>
      <c r="B4" s="1" t="s">
        <v>31</v>
      </c>
      <c r="C4" s="1" t="s">
        <v>6</v>
      </c>
      <c r="D4" s="1">
        <v>6</v>
      </c>
      <c r="E4" s="7"/>
      <c r="F4" s="8"/>
      <c r="G4" s="4">
        <v>44829</v>
      </c>
      <c r="H4" s="9"/>
      <c r="I4" s="36"/>
      <c r="J4" s="36"/>
      <c r="K4" s="36"/>
      <c r="L4" s="36"/>
      <c r="M4" s="36"/>
      <c r="N4" s="36"/>
      <c r="O4" s="36"/>
      <c r="P4" s="36"/>
    </row>
    <row r="5" spans="1:16" x14ac:dyDescent="0.25">
      <c r="A5" s="1" t="s">
        <v>66</v>
      </c>
      <c r="B5" s="1" t="s">
        <v>33</v>
      </c>
      <c r="C5" s="1" t="s">
        <v>22</v>
      </c>
      <c r="D5" s="1">
        <v>24</v>
      </c>
      <c r="E5" s="7"/>
      <c r="F5" s="8"/>
      <c r="G5" s="4">
        <v>45351</v>
      </c>
      <c r="H5" s="9"/>
      <c r="I5" s="36"/>
      <c r="J5" s="36"/>
      <c r="K5" s="36"/>
      <c r="L5" s="36"/>
      <c r="M5" s="36"/>
      <c r="N5" s="36"/>
      <c r="O5" s="36"/>
      <c r="P5" s="36"/>
    </row>
    <row r="6" spans="1:16" x14ac:dyDescent="0.25">
      <c r="A6" s="1" t="s">
        <v>67</v>
      </c>
      <c r="B6" s="1" t="s">
        <v>35</v>
      </c>
      <c r="C6" s="1" t="s">
        <v>6</v>
      </c>
      <c r="D6" s="1">
        <v>5</v>
      </c>
      <c r="E6" s="7"/>
      <c r="F6" s="8"/>
      <c r="G6" s="4">
        <v>44746</v>
      </c>
      <c r="H6" s="9"/>
    </row>
    <row r="7" spans="1:16" x14ac:dyDescent="0.25">
      <c r="A7" s="1" t="s">
        <v>68</v>
      </c>
      <c r="B7" s="1" t="s">
        <v>31</v>
      </c>
      <c r="C7" s="1" t="s">
        <v>8</v>
      </c>
      <c r="D7" s="1">
        <v>24</v>
      </c>
      <c r="E7" s="7"/>
      <c r="F7" s="8"/>
      <c r="G7" s="4">
        <v>45437</v>
      </c>
      <c r="H7" s="9"/>
      <c r="K7" s="1" t="s">
        <v>31</v>
      </c>
      <c r="L7" s="2">
        <v>399</v>
      </c>
    </row>
    <row r="8" spans="1:16" x14ac:dyDescent="0.25">
      <c r="A8" s="1" t="s">
        <v>65</v>
      </c>
      <c r="B8" s="1" t="s">
        <v>33</v>
      </c>
      <c r="C8" s="1" t="s">
        <v>6</v>
      </c>
      <c r="D8" s="1">
        <v>3</v>
      </c>
      <c r="E8" s="7"/>
      <c r="F8" s="8"/>
      <c r="G8" s="4">
        <v>44811</v>
      </c>
      <c r="H8" s="9"/>
      <c r="K8" s="1" t="s">
        <v>33</v>
      </c>
      <c r="L8" s="2">
        <v>799</v>
      </c>
    </row>
    <row r="9" spans="1:16" x14ac:dyDescent="0.25">
      <c r="A9" s="1" t="s">
        <v>66</v>
      </c>
      <c r="B9" s="1" t="s">
        <v>35</v>
      </c>
      <c r="C9" s="1" t="s">
        <v>22</v>
      </c>
      <c r="D9" s="1">
        <v>7</v>
      </c>
      <c r="E9" s="7"/>
      <c r="F9" s="8"/>
      <c r="G9" s="4">
        <v>45522</v>
      </c>
      <c r="H9" s="9"/>
      <c r="K9" s="1" t="s">
        <v>35</v>
      </c>
      <c r="L9" s="2">
        <v>169</v>
      </c>
    </row>
    <row r="10" spans="1:16" x14ac:dyDescent="0.25">
      <c r="A10" s="1" t="s">
        <v>67</v>
      </c>
      <c r="B10" s="1" t="s">
        <v>31</v>
      </c>
      <c r="C10" s="1" t="s">
        <v>6</v>
      </c>
      <c r="D10" s="1">
        <v>11</v>
      </c>
      <c r="E10" s="7"/>
      <c r="F10" s="8"/>
      <c r="G10" s="4">
        <v>45265</v>
      </c>
      <c r="H10" s="9"/>
    </row>
    <row r="11" spans="1:16" x14ac:dyDescent="0.25">
      <c r="A11" s="1" t="s">
        <v>68</v>
      </c>
      <c r="B11" s="1" t="s">
        <v>33</v>
      </c>
      <c r="C11" s="1" t="s">
        <v>22</v>
      </c>
      <c r="D11" s="1">
        <v>21</v>
      </c>
      <c r="E11" s="7"/>
      <c r="F11" s="8"/>
      <c r="G11" s="4">
        <v>44873</v>
      </c>
      <c r="H11" s="9"/>
      <c r="J11">
        <v>1</v>
      </c>
      <c r="K11" t="s">
        <v>69</v>
      </c>
    </row>
    <row r="12" spans="1:16" x14ac:dyDescent="0.25">
      <c r="A12" s="1" t="s">
        <v>65</v>
      </c>
      <c r="B12" s="1" t="s">
        <v>35</v>
      </c>
      <c r="C12" s="1" t="s">
        <v>6</v>
      </c>
      <c r="D12" s="1">
        <v>3</v>
      </c>
      <c r="E12" s="7"/>
      <c r="F12" s="8"/>
      <c r="G12" s="4">
        <v>45274</v>
      </c>
      <c r="H12" s="9"/>
      <c r="J12">
        <v>2</v>
      </c>
      <c r="K12" t="s">
        <v>70</v>
      </c>
    </row>
    <row r="13" spans="1:16" x14ac:dyDescent="0.25">
      <c r="A13" s="1" t="s">
        <v>66</v>
      </c>
      <c r="B13" s="1" t="s">
        <v>31</v>
      </c>
      <c r="C13" s="1" t="s">
        <v>22</v>
      </c>
      <c r="D13" s="1">
        <v>13</v>
      </c>
      <c r="E13" s="7"/>
      <c r="F13" s="8"/>
      <c r="G13" s="4">
        <v>45523</v>
      </c>
      <c r="H13" s="9"/>
    </row>
    <row r="14" spans="1:16" x14ac:dyDescent="0.25">
      <c r="A14" s="1" t="s">
        <v>67</v>
      </c>
      <c r="B14" s="1" t="s">
        <v>33</v>
      </c>
      <c r="C14" s="1" t="s">
        <v>6</v>
      </c>
      <c r="D14" s="1">
        <v>10</v>
      </c>
      <c r="E14" s="7"/>
      <c r="F14" s="8"/>
      <c r="G14" s="4">
        <v>44591</v>
      </c>
      <c r="H14" s="9"/>
    </row>
    <row r="15" spans="1:16" x14ac:dyDescent="0.25">
      <c r="A15" s="1" t="s">
        <v>68</v>
      </c>
      <c r="B15" s="1" t="s">
        <v>35</v>
      </c>
      <c r="C15" s="1" t="s">
        <v>8</v>
      </c>
      <c r="D15" s="1">
        <v>22</v>
      </c>
      <c r="E15" s="7"/>
      <c r="F15" s="8"/>
      <c r="G15" s="4">
        <v>45460</v>
      </c>
      <c r="H15" s="9"/>
      <c r="K15" t="s">
        <v>71</v>
      </c>
    </row>
    <row r="16" spans="1:16" x14ac:dyDescent="0.25">
      <c r="A16" s="1" t="s">
        <v>65</v>
      </c>
      <c r="B16" s="1" t="s">
        <v>31</v>
      </c>
      <c r="C16" s="1" t="s">
        <v>6</v>
      </c>
      <c r="D16" s="1">
        <v>19</v>
      </c>
      <c r="E16" s="7"/>
      <c r="F16" s="8"/>
      <c r="G16" s="4">
        <v>44591</v>
      </c>
      <c r="H16" s="9"/>
      <c r="K16" t="s">
        <v>72</v>
      </c>
    </row>
    <row r="17" spans="1:11" x14ac:dyDescent="0.25">
      <c r="A17" s="1" t="s">
        <v>66</v>
      </c>
      <c r="B17" s="1" t="s">
        <v>33</v>
      </c>
      <c r="C17" s="1" t="s">
        <v>22</v>
      </c>
      <c r="D17" s="1">
        <v>19</v>
      </c>
      <c r="E17" s="7"/>
      <c r="F17" s="8"/>
      <c r="G17" s="4">
        <v>44850</v>
      </c>
      <c r="H17" s="9"/>
      <c r="K17" t="s">
        <v>73</v>
      </c>
    </row>
    <row r="18" spans="1:11" x14ac:dyDescent="0.25">
      <c r="A18" s="1" t="s">
        <v>67</v>
      </c>
      <c r="B18" s="1" t="s">
        <v>35</v>
      </c>
      <c r="C18" s="1" t="s">
        <v>6</v>
      </c>
      <c r="D18" s="1">
        <v>25</v>
      </c>
      <c r="E18" s="7"/>
      <c r="F18" s="8"/>
      <c r="G18" s="4">
        <v>45226</v>
      </c>
      <c r="H18" s="9"/>
    </row>
    <row r="19" spans="1:11" x14ac:dyDescent="0.25">
      <c r="A19" s="1" t="s">
        <v>68</v>
      </c>
      <c r="B19" s="1" t="s">
        <v>31</v>
      </c>
      <c r="C19" s="1" t="s">
        <v>22</v>
      </c>
      <c r="D19" s="1">
        <v>11</v>
      </c>
      <c r="E19" s="7"/>
      <c r="F19" s="8"/>
      <c r="G19" s="4">
        <v>45465</v>
      </c>
      <c r="H19" s="9"/>
    </row>
    <row r="20" spans="1:11" x14ac:dyDescent="0.25">
      <c r="A20" s="1" t="s">
        <v>65</v>
      </c>
      <c r="B20" s="1" t="s">
        <v>33</v>
      </c>
      <c r="C20" s="1" t="s">
        <v>6</v>
      </c>
      <c r="D20" s="1">
        <v>15</v>
      </c>
      <c r="E20" s="7"/>
      <c r="F20" s="8"/>
      <c r="G20" s="4">
        <v>45542</v>
      </c>
      <c r="H20" s="9"/>
    </row>
    <row r="21" spans="1:11" x14ac:dyDescent="0.25">
      <c r="A21" s="1" t="s">
        <v>66</v>
      </c>
      <c r="B21" s="1" t="s">
        <v>35</v>
      </c>
      <c r="C21" s="1" t="s">
        <v>22</v>
      </c>
      <c r="D21" s="1">
        <v>14</v>
      </c>
      <c r="E21" s="7"/>
      <c r="F21" s="8"/>
      <c r="G21" s="4">
        <v>44749</v>
      </c>
      <c r="H21" s="9"/>
      <c r="K21" t="s">
        <v>74</v>
      </c>
    </row>
    <row r="22" spans="1:11" x14ac:dyDescent="0.25">
      <c r="A22" s="1" t="s">
        <v>67</v>
      </c>
      <c r="B22" s="1" t="s">
        <v>31</v>
      </c>
      <c r="C22" s="1" t="s">
        <v>6</v>
      </c>
      <c r="D22" s="1">
        <v>14</v>
      </c>
      <c r="E22" s="7"/>
      <c r="F22" s="8"/>
      <c r="G22" s="4">
        <v>44876</v>
      </c>
      <c r="H22" s="9"/>
    </row>
    <row r="23" spans="1:11" x14ac:dyDescent="0.25">
      <c r="A23" s="1" t="s">
        <v>68</v>
      </c>
      <c r="B23" s="1" t="s">
        <v>33</v>
      </c>
      <c r="C23" s="1" t="s">
        <v>22</v>
      </c>
      <c r="D23" s="1">
        <v>19</v>
      </c>
      <c r="E23" s="7"/>
      <c r="F23" s="8"/>
      <c r="G23" s="4">
        <v>45212</v>
      </c>
      <c r="H23" s="9"/>
    </row>
    <row r="24" spans="1:11" x14ac:dyDescent="0.25">
      <c r="A24" s="1" t="s">
        <v>65</v>
      </c>
      <c r="B24" s="1" t="s">
        <v>35</v>
      </c>
      <c r="C24" s="1" t="s">
        <v>6</v>
      </c>
      <c r="D24" s="1">
        <v>15</v>
      </c>
      <c r="E24" s="7"/>
      <c r="F24" s="8"/>
      <c r="G24" s="4">
        <v>44979</v>
      </c>
      <c r="H24" s="9"/>
    </row>
    <row r="25" spans="1:11" x14ac:dyDescent="0.25">
      <c r="A25" s="1" t="s">
        <v>66</v>
      </c>
      <c r="B25" s="1" t="s">
        <v>31</v>
      </c>
      <c r="C25" s="1" t="s">
        <v>22</v>
      </c>
      <c r="D25" s="1">
        <v>15</v>
      </c>
      <c r="E25" s="7"/>
      <c r="F25" s="8"/>
      <c r="G25" s="4">
        <v>45176</v>
      </c>
      <c r="H25" s="9"/>
    </row>
    <row r="26" spans="1:11" x14ac:dyDescent="0.25">
      <c r="A26" s="1" t="s">
        <v>67</v>
      </c>
      <c r="B26" s="1" t="s">
        <v>33</v>
      </c>
      <c r="C26" s="1" t="s">
        <v>6</v>
      </c>
      <c r="D26" s="1">
        <v>19</v>
      </c>
      <c r="E26" s="7"/>
      <c r="F26" s="8"/>
      <c r="G26" s="4">
        <v>45315</v>
      </c>
      <c r="H26" s="9"/>
    </row>
    <row r="27" spans="1:11" x14ac:dyDescent="0.25">
      <c r="A27" s="1" t="s">
        <v>68</v>
      </c>
      <c r="B27" s="1" t="s">
        <v>35</v>
      </c>
      <c r="C27" s="1" t="s">
        <v>22</v>
      </c>
      <c r="D27" s="1">
        <v>25</v>
      </c>
      <c r="E27" s="7"/>
      <c r="F27" s="8"/>
      <c r="G27" s="4">
        <v>45140</v>
      </c>
      <c r="H27" s="9"/>
    </row>
    <row r="28" spans="1:11" x14ac:dyDescent="0.25">
      <c r="A28" s="1" t="s">
        <v>65</v>
      </c>
      <c r="B28" s="1" t="s">
        <v>31</v>
      </c>
      <c r="C28" s="1" t="s">
        <v>6</v>
      </c>
      <c r="D28" s="1">
        <v>8</v>
      </c>
      <c r="E28" s="7"/>
      <c r="F28" s="8"/>
      <c r="G28" s="4">
        <v>44695</v>
      </c>
      <c r="H28" s="9"/>
    </row>
    <row r="29" spans="1:11" x14ac:dyDescent="0.25">
      <c r="A29" s="1" t="s">
        <v>66</v>
      </c>
      <c r="B29" s="1" t="s">
        <v>33</v>
      </c>
      <c r="C29" s="1" t="s">
        <v>22</v>
      </c>
      <c r="D29" s="1">
        <v>12</v>
      </c>
      <c r="E29" s="7"/>
      <c r="F29" s="8"/>
      <c r="G29" s="4">
        <v>44680</v>
      </c>
      <c r="H29" s="9"/>
    </row>
    <row r="30" spans="1:11" x14ac:dyDescent="0.25">
      <c r="A30" s="1" t="s">
        <v>67</v>
      </c>
      <c r="B30" s="1" t="s">
        <v>35</v>
      </c>
      <c r="C30" s="1" t="s">
        <v>6</v>
      </c>
      <c r="D30" s="1">
        <v>17</v>
      </c>
      <c r="E30" s="7"/>
      <c r="F30" s="8"/>
      <c r="G30" s="4">
        <v>45405</v>
      </c>
      <c r="H30" s="9"/>
    </row>
    <row r="31" spans="1:11" x14ac:dyDescent="0.25">
      <c r="A31" s="1" t="s">
        <v>68</v>
      </c>
      <c r="B31" s="1" t="s">
        <v>31</v>
      </c>
      <c r="C31" s="1" t="s">
        <v>22</v>
      </c>
      <c r="D31" s="1">
        <v>3</v>
      </c>
      <c r="E31" s="7"/>
      <c r="F31" s="8"/>
      <c r="G31" s="4">
        <v>45364</v>
      </c>
      <c r="H31" s="9"/>
    </row>
    <row r="32" spans="1:11" x14ac:dyDescent="0.25">
      <c r="A32" s="1" t="s">
        <v>65</v>
      </c>
      <c r="B32" s="1" t="s">
        <v>33</v>
      </c>
      <c r="C32" s="1" t="s">
        <v>6</v>
      </c>
      <c r="D32" s="1">
        <v>10</v>
      </c>
      <c r="E32" s="7"/>
      <c r="F32" s="8"/>
      <c r="G32" s="4">
        <v>45346</v>
      </c>
      <c r="H32" s="9"/>
    </row>
    <row r="33" spans="1:14" x14ac:dyDescent="0.25">
      <c r="A33" s="1" t="s">
        <v>66</v>
      </c>
      <c r="B33" s="1" t="s">
        <v>35</v>
      </c>
      <c r="C33" s="1" t="s">
        <v>22</v>
      </c>
      <c r="D33" s="1">
        <v>20</v>
      </c>
      <c r="E33" s="7"/>
      <c r="F33" s="8"/>
      <c r="G33" s="4">
        <v>45452</v>
      </c>
      <c r="H33" s="9"/>
    </row>
    <row r="34" spans="1:14" x14ac:dyDescent="0.25">
      <c r="A34" s="1" t="s">
        <v>67</v>
      </c>
      <c r="B34" s="1" t="s">
        <v>31</v>
      </c>
      <c r="C34" s="1" t="s">
        <v>8</v>
      </c>
      <c r="D34" s="1">
        <v>6</v>
      </c>
      <c r="E34" s="7"/>
      <c r="F34" s="8"/>
      <c r="G34" s="4">
        <v>44882</v>
      </c>
      <c r="H34" s="9"/>
    </row>
    <row r="35" spans="1:14" x14ac:dyDescent="0.25">
      <c r="A35" s="1" t="s">
        <v>68</v>
      </c>
      <c r="B35" s="1" t="s">
        <v>33</v>
      </c>
      <c r="C35" s="1" t="s">
        <v>22</v>
      </c>
      <c r="D35" s="1">
        <v>4</v>
      </c>
      <c r="E35" s="7"/>
      <c r="F35" s="8"/>
      <c r="G35" s="4">
        <v>45461</v>
      </c>
      <c r="H35" s="9"/>
    </row>
    <row r="36" spans="1:14" x14ac:dyDescent="0.25">
      <c r="A36" s="1" t="s">
        <v>65</v>
      </c>
      <c r="B36" s="1" t="s">
        <v>35</v>
      </c>
      <c r="C36" s="1" t="s">
        <v>6</v>
      </c>
      <c r="D36" s="1">
        <v>17</v>
      </c>
      <c r="E36" s="7"/>
      <c r="F36" s="8"/>
      <c r="G36" s="4">
        <v>45320</v>
      </c>
      <c r="H36" s="9"/>
    </row>
    <row r="37" spans="1:14" x14ac:dyDescent="0.25">
      <c r="A37" s="1" t="s">
        <v>66</v>
      </c>
      <c r="B37" s="1" t="s">
        <v>31</v>
      </c>
      <c r="C37" s="1" t="s">
        <v>22</v>
      </c>
      <c r="D37" s="1">
        <v>11</v>
      </c>
      <c r="E37" s="7"/>
      <c r="F37" s="8"/>
      <c r="G37" s="4">
        <v>45432</v>
      </c>
      <c r="H37" s="9"/>
    </row>
    <row r="38" spans="1:14" x14ac:dyDescent="0.25">
      <c r="A38" s="1" t="s">
        <v>67</v>
      </c>
      <c r="B38" s="1" t="s">
        <v>31</v>
      </c>
      <c r="C38" s="1" t="s">
        <v>6</v>
      </c>
      <c r="D38" s="1">
        <v>19</v>
      </c>
      <c r="E38" s="7"/>
      <c r="F38" s="8"/>
      <c r="G38" s="4">
        <v>45329</v>
      </c>
    </row>
    <row r="39" spans="1:14" x14ac:dyDescent="0.25">
      <c r="A39" s="1" t="s">
        <v>68</v>
      </c>
      <c r="B39" s="1" t="s">
        <v>33</v>
      </c>
      <c r="C39" s="1" t="s">
        <v>22</v>
      </c>
      <c r="D39" s="1">
        <v>23</v>
      </c>
      <c r="E39" s="7"/>
      <c r="F39" s="8"/>
      <c r="G39" s="4">
        <v>45567</v>
      </c>
    </row>
    <row r="40" spans="1:14" x14ac:dyDescent="0.25">
      <c r="A40" s="1" t="s">
        <v>65</v>
      </c>
      <c r="B40" s="1" t="s">
        <v>35</v>
      </c>
      <c r="C40" s="1" t="s">
        <v>6</v>
      </c>
      <c r="D40" s="1">
        <v>13</v>
      </c>
      <c r="E40" s="7"/>
      <c r="F40" s="8"/>
      <c r="G40" s="4">
        <v>45005</v>
      </c>
    </row>
    <row r="41" spans="1:14" x14ac:dyDescent="0.25">
      <c r="A41" s="1" t="s">
        <v>66</v>
      </c>
      <c r="B41" s="1" t="s">
        <v>31</v>
      </c>
      <c r="C41" s="1" t="s">
        <v>8</v>
      </c>
      <c r="D41" s="1">
        <v>10</v>
      </c>
      <c r="E41" s="7"/>
      <c r="F41" s="8"/>
      <c r="G41" s="4">
        <v>44684</v>
      </c>
    </row>
    <row r="42" spans="1:14" x14ac:dyDescent="0.25">
      <c r="A42" s="1" t="s">
        <v>67</v>
      </c>
      <c r="B42" s="1" t="s">
        <v>33</v>
      </c>
      <c r="C42" s="1" t="s">
        <v>6</v>
      </c>
      <c r="D42" s="1">
        <v>23</v>
      </c>
      <c r="E42" s="7"/>
      <c r="F42" s="8"/>
      <c r="G42" s="4">
        <v>45297</v>
      </c>
    </row>
    <row r="43" spans="1:14" x14ac:dyDescent="0.25">
      <c r="A43" s="1" t="s">
        <v>68</v>
      </c>
      <c r="B43" s="1" t="s">
        <v>35</v>
      </c>
      <c r="C43" s="1" t="s">
        <v>22</v>
      </c>
      <c r="D43" s="1">
        <v>3</v>
      </c>
      <c r="E43" s="7"/>
      <c r="F43" s="8"/>
      <c r="G43" s="4">
        <v>44675</v>
      </c>
    </row>
    <row r="44" spans="1:14" x14ac:dyDescent="0.25">
      <c r="A44" s="1" t="s">
        <v>65</v>
      </c>
      <c r="B44" s="1" t="s">
        <v>31</v>
      </c>
      <c r="C44" s="1" t="s">
        <v>6</v>
      </c>
      <c r="D44" s="1">
        <v>16</v>
      </c>
      <c r="E44" s="7"/>
      <c r="F44" s="8"/>
      <c r="G44" s="4">
        <v>44677</v>
      </c>
    </row>
    <row r="45" spans="1:14" x14ac:dyDescent="0.25">
      <c r="A45" s="1" t="s">
        <v>66</v>
      </c>
      <c r="B45" s="1" t="s">
        <v>33</v>
      </c>
      <c r="C45" s="1" t="s">
        <v>22</v>
      </c>
      <c r="D45" s="1">
        <v>7</v>
      </c>
      <c r="E45" s="7"/>
      <c r="F45" s="8"/>
      <c r="G45" s="4">
        <v>45574</v>
      </c>
    </row>
    <row r="46" spans="1:14" x14ac:dyDescent="0.25">
      <c r="A46" s="1" t="s">
        <v>67</v>
      </c>
      <c r="B46" s="1" t="s">
        <v>35</v>
      </c>
      <c r="C46" s="1" t="s">
        <v>6</v>
      </c>
      <c r="D46" s="1">
        <v>4</v>
      </c>
      <c r="E46" s="7"/>
      <c r="F46" s="8"/>
      <c r="G46" s="4">
        <v>45020</v>
      </c>
    </row>
    <row r="47" spans="1:14" x14ac:dyDescent="0.25">
      <c r="A47" s="1" t="s">
        <v>68</v>
      </c>
      <c r="B47" s="1" t="s">
        <v>31</v>
      </c>
      <c r="C47" s="1" t="s">
        <v>22</v>
      </c>
      <c r="D47" s="1">
        <v>20</v>
      </c>
      <c r="E47" s="7"/>
      <c r="F47" s="8"/>
      <c r="G47" s="4">
        <v>44906</v>
      </c>
    </row>
    <row r="48" spans="1:14" x14ac:dyDescent="0.25">
      <c r="A48" s="1" t="s">
        <v>65</v>
      </c>
      <c r="B48" s="1" t="s">
        <v>33</v>
      </c>
      <c r="C48" s="1" t="s">
        <v>6</v>
      </c>
      <c r="D48" s="1">
        <v>19</v>
      </c>
      <c r="E48" s="7"/>
      <c r="F48" s="8"/>
      <c r="G48" s="4">
        <v>45179</v>
      </c>
      <c r="N48" t="s">
        <v>75</v>
      </c>
    </row>
    <row r="49" spans="1:7" x14ac:dyDescent="0.25">
      <c r="A49" s="1" t="s">
        <v>66</v>
      </c>
      <c r="B49" s="1" t="s">
        <v>35</v>
      </c>
      <c r="C49" s="1" t="s">
        <v>8</v>
      </c>
      <c r="D49" s="1">
        <v>14</v>
      </c>
      <c r="E49" s="7"/>
      <c r="F49" s="8"/>
      <c r="G49" s="4">
        <v>44786</v>
      </c>
    </row>
    <row r="50" spans="1:7" x14ac:dyDescent="0.25">
      <c r="A50" s="1" t="s">
        <v>67</v>
      </c>
      <c r="B50" s="1" t="s">
        <v>31</v>
      </c>
      <c r="C50" s="1" t="s">
        <v>6</v>
      </c>
      <c r="D50" s="1">
        <v>8</v>
      </c>
      <c r="E50" s="7"/>
      <c r="F50" s="8"/>
      <c r="G50" s="4">
        <v>45298</v>
      </c>
    </row>
    <row r="51" spans="1:7" x14ac:dyDescent="0.25">
      <c r="A51" s="1" t="s">
        <v>68</v>
      </c>
      <c r="B51" s="1" t="s">
        <v>33</v>
      </c>
      <c r="C51" s="1" t="s">
        <v>22</v>
      </c>
      <c r="D51" s="1">
        <v>6</v>
      </c>
      <c r="E51" s="7"/>
      <c r="F51" s="8"/>
      <c r="G51" s="4">
        <v>45265</v>
      </c>
    </row>
    <row r="52" spans="1:7" x14ac:dyDescent="0.25">
      <c r="A52" s="1" t="s">
        <v>65</v>
      </c>
      <c r="B52" s="1" t="s">
        <v>35</v>
      </c>
      <c r="C52" s="1" t="s">
        <v>6</v>
      </c>
      <c r="D52" s="1">
        <v>13</v>
      </c>
      <c r="E52" s="7"/>
      <c r="F52" s="8"/>
      <c r="G52" s="4">
        <v>45087</v>
      </c>
    </row>
    <row r="53" spans="1:7" x14ac:dyDescent="0.25">
      <c r="A53" s="1" t="s">
        <v>66</v>
      </c>
      <c r="B53" s="1" t="s">
        <v>31</v>
      </c>
      <c r="C53" s="1" t="s">
        <v>22</v>
      </c>
      <c r="D53" s="1">
        <v>11</v>
      </c>
      <c r="E53" s="7"/>
      <c r="F53" s="8"/>
      <c r="G53" s="4">
        <v>45456</v>
      </c>
    </row>
    <row r="54" spans="1:7" x14ac:dyDescent="0.25">
      <c r="A54" s="1" t="s">
        <v>67</v>
      </c>
      <c r="B54" s="1" t="s">
        <v>33</v>
      </c>
      <c r="C54" s="1" t="s">
        <v>6</v>
      </c>
      <c r="D54" s="1">
        <v>3</v>
      </c>
      <c r="E54" s="7"/>
      <c r="F54" s="8"/>
      <c r="G54" s="4">
        <v>44675</v>
      </c>
    </row>
    <row r="55" spans="1:7" x14ac:dyDescent="0.25">
      <c r="A55" s="1" t="s">
        <v>68</v>
      </c>
      <c r="B55" s="1" t="s">
        <v>35</v>
      </c>
      <c r="C55" s="1" t="s">
        <v>22</v>
      </c>
      <c r="D55" s="1">
        <v>20</v>
      </c>
      <c r="E55" s="7"/>
      <c r="F55" s="8"/>
      <c r="G55" s="4">
        <v>44833</v>
      </c>
    </row>
    <row r="56" spans="1:7" x14ac:dyDescent="0.25">
      <c r="A56" s="1" t="s">
        <v>65</v>
      </c>
      <c r="B56" s="1" t="s">
        <v>31</v>
      </c>
      <c r="C56" s="1" t="s">
        <v>6</v>
      </c>
      <c r="D56" s="1">
        <v>22</v>
      </c>
      <c r="E56" s="7"/>
      <c r="F56" s="8"/>
      <c r="G56" s="4">
        <v>44814</v>
      </c>
    </row>
    <row r="57" spans="1:7" x14ac:dyDescent="0.25">
      <c r="A57" s="1" t="s">
        <v>66</v>
      </c>
      <c r="B57" s="1" t="s">
        <v>33</v>
      </c>
      <c r="C57" s="1" t="s">
        <v>22</v>
      </c>
      <c r="D57" s="1">
        <v>21</v>
      </c>
      <c r="E57" s="7"/>
      <c r="F57" s="8"/>
      <c r="G57" s="4">
        <v>45237</v>
      </c>
    </row>
    <row r="58" spans="1:7" x14ac:dyDescent="0.25">
      <c r="A58" s="1" t="s">
        <v>67</v>
      </c>
      <c r="B58" s="1" t="s">
        <v>35</v>
      </c>
      <c r="C58" s="1" t="s">
        <v>6</v>
      </c>
      <c r="D58" s="1">
        <v>19</v>
      </c>
      <c r="E58" s="7"/>
      <c r="F58" s="8"/>
      <c r="G58" s="4">
        <v>44991</v>
      </c>
    </row>
    <row r="59" spans="1:7" x14ac:dyDescent="0.25">
      <c r="A59" s="1" t="s">
        <v>68</v>
      </c>
      <c r="B59" s="1" t="s">
        <v>31</v>
      </c>
      <c r="C59" s="1" t="s">
        <v>22</v>
      </c>
      <c r="D59" s="1">
        <v>25</v>
      </c>
      <c r="E59" s="7"/>
      <c r="F59" s="8"/>
      <c r="G59" s="4">
        <v>45063</v>
      </c>
    </row>
    <row r="60" spans="1:7" x14ac:dyDescent="0.25">
      <c r="A60" s="1" t="s">
        <v>65</v>
      </c>
      <c r="B60" s="1" t="s">
        <v>33</v>
      </c>
      <c r="C60" s="1" t="s">
        <v>6</v>
      </c>
      <c r="D60" s="1">
        <v>20</v>
      </c>
      <c r="E60" s="7"/>
      <c r="F60" s="8"/>
      <c r="G60" s="4">
        <v>45038</v>
      </c>
    </row>
    <row r="61" spans="1:7" x14ac:dyDescent="0.25">
      <c r="A61" s="1" t="s">
        <v>66</v>
      </c>
      <c r="B61" s="1" t="s">
        <v>35</v>
      </c>
      <c r="C61" s="1" t="s">
        <v>22</v>
      </c>
      <c r="D61" s="1">
        <v>13</v>
      </c>
      <c r="E61" s="7"/>
      <c r="F61" s="8"/>
      <c r="G61" s="4">
        <v>44876</v>
      </c>
    </row>
    <row r="62" spans="1:7" x14ac:dyDescent="0.25">
      <c r="A62" s="1" t="s">
        <v>67</v>
      </c>
      <c r="B62" s="1" t="s">
        <v>31</v>
      </c>
      <c r="C62" s="1" t="s">
        <v>6</v>
      </c>
      <c r="D62" s="1">
        <v>4</v>
      </c>
      <c r="E62" s="7"/>
      <c r="F62" s="8"/>
      <c r="G62" s="4">
        <v>45004</v>
      </c>
    </row>
    <row r="63" spans="1:7" x14ac:dyDescent="0.25">
      <c r="A63" s="1" t="s">
        <v>68</v>
      </c>
      <c r="B63" s="1" t="s">
        <v>33</v>
      </c>
      <c r="C63" s="1" t="s">
        <v>22</v>
      </c>
      <c r="D63" s="1">
        <v>9</v>
      </c>
      <c r="E63" s="7"/>
      <c r="F63" s="8"/>
      <c r="G63" s="4">
        <v>44569</v>
      </c>
    </row>
    <row r="64" spans="1:7" x14ac:dyDescent="0.25">
      <c r="A64" s="1" t="s">
        <v>65</v>
      </c>
      <c r="B64" s="1" t="s">
        <v>35</v>
      </c>
      <c r="C64" s="1" t="s">
        <v>6</v>
      </c>
      <c r="D64" s="1">
        <v>4</v>
      </c>
      <c r="E64" s="7"/>
      <c r="F64" s="8"/>
      <c r="G64" s="4">
        <v>44755</v>
      </c>
    </row>
    <row r="65" spans="1:7" x14ac:dyDescent="0.25">
      <c r="A65" s="1" t="s">
        <v>66</v>
      </c>
      <c r="B65" s="1" t="s">
        <v>31</v>
      </c>
      <c r="C65" s="1" t="s">
        <v>22</v>
      </c>
      <c r="D65" s="1">
        <v>14</v>
      </c>
      <c r="E65" s="7"/>
      <c r="F65" s="8"/>
      <c r="G65" s="4">
        <v>44861</v>
      </c>
    </row>
    <row r="66" spans="1:7" x14ac:dyDescent="0.25">
      <c r="A66" s="1" t="s">
        <v>67</v>
      </c>
      <c r="B66" s="1" t="s">
        <v>33</v>
      </c>
      <c r="C66" s="1" t="s">
        <v>6</v>
      </c>
      <c r="D66" s="1">
        <v>15</v>
      </c>
      <c r="E66" s="7"/>
      <c r="F66" s="8"/>
      <c r="G66" s="4">
        <v>45086</v>
      </c>
    </row>
    <row r="67" spans="1:7" x14ac:dyDescent="0.25">
      <c r="A67" s="1" t="s">
        <v>68</v>
      </c>
      <c r="B67" s="1" t="s">
        <v>35</v>
      </c>
      <c r="C67" s="1" t="s">
        <v>22</v>
      </c>
      <c r="D67" s="1">
        <v>19</v>
      </c>
      <c r="E67" s="7"/>
      <c r="F67" s="8"/>
      <c r="G67" s="4">
        <v>45220</v>
      </c>
    </row>
    <row r="68" spans="1:7" x14ac:dyDescent="0.25">
      <c r="A68" s="1" t="s">
        <v>65</v>
      </c>
      <c r="B68" s="1" t="s">
        <v>31</v>
      </c>
      <c r="C68" s="1" t="s">
        <v>8</v>
      </c>
      <c r="D68" s="1">
        <v>22</v>
      </c>
      <c r="E68" s="7"/>
      <c r="F68" s="8"/>
      <c r="G68" s="4">
        <v>44989</v>
      </c>
    </row>
    <row r="69" spans="1:7" x14ac:dyDescent="0.25">
      <c r="A69" s="1" t="s">
        <v>66</v>
      </c>
      <c r="B69" s="1" t="s">
        <v>33</v>
      </c>
      <c r="C69" s="1" t="s">
        <v>22</v>
      </c>
      <c r="D69" s="1">
        <v>13</v>
      </c>
      <c r="E69" s="7"/>
      <c r="F69" s="8"/>
      <c r="G69" s="4">
        <v>45426</v>
      </c>
    </row>
    <row r="70" spans="1:7" x14ac:dyDescent="0.25">
      <c r="A70" s="1" t="s">
        <v>67</v>
      </c>
      <c r="B70" s="1" t="s">
        <v>35</v>
      </c>
      <c r="C70" s="1" t="s">
        <v>6</v>
      </c>
      <c r="D70" s="1">
        <v>9</v>
      </c>
      <c r="E70" s="7"/>
      <c r="F70" s="8"/>
      <c r="G70" s="4">
        <v>44893</v>
      </c>
    </row>
    <row r="71" spans="1:7" x14ac:dyDescent="0.25">
      <c r="A71" s="1" t="s">
        <v>68</v>
      </c>
      <c r="B71" s="1" t="s">
        <v>31</v>
      </c>
      <c r="C71" s="1" t="s">
        <v>22</v>
      </c>
      <c r="D71" s="1">
        <v>12</v>
      </c>
      <c r="E71" s="7"/>
      <c r="F71" s="8"/>
      <c r="G71" s="4">
        <v>45231</v>
      </c>
    </row>
    <row r="72" spans="1:7" x14ac:dyDescent="0.25">
      <c r="A72" s="1" t="s">
        <v>65</v>
      </c>
      <c r="B72" s="1" t="s">
        <v>31</v>
      </c>
      <c r="C72" s="1" t="s">
        <v>6</v>
      </c>
      <c r="D72" s="1">
        <v>3</v>
      </c>
      <c r="E72" s="7"/>
      <c r="F72" s="8"/>
      <c r="G72" s="4">
        <v>45410</v>
      </c>
    </row>
    <row r="73" spans="1:7" x14ac:dyDescent="0.25">
      <c r="A73" s="1" t="s">
        <v>66</v>
      </c>
      <c r="B73" s="1" t="s">
        <v>33</v>
      </c>
      <c r="C73" s="1" t="s">
        <v>22</v>
      </c>
      <c r="D73" s="1">
        <v>18</v>
      </c>
      <c r="E73" s="7"/>
      <c r="F73" s="8"/>
      <c r="G73" s="4">
        <v>45108</v>
      </c>
    </row>
    <row r="74" spans="1:7" x14ac:dyDescent="0.25">
      <c r="A74" s="1" t="s">
        <v>67</v>
      </c>
      <c r="B74" s="1" t="s">
        <v>35</v>
      </c>
      <c r="C74" s="1" t="s">
        <v>6</v>
      </c>
      <c r="D74" s="1">
        <v>12</v>
      </c>
      <c r="E74" s="7"/>
      <c r="F74" s="8"/>
      <c r="G74" s="4">
        <v>44818</v>
      </c>
    </row>
    <row r="75" spans="1:7" x14ac:dyDescent="0.25">
      <c r="A75" s="1" t="s">
        <v>68</v>
      </c>
      <c r="B75" s="1" t="s">
        <v>31</v>
      </c>
      <c r="C75" s="1" t="s">
        <v>8</v>
      </c>
      <c r="D75" s="1">
        <v>23</v>
      </c>
      <c r="E75" s="7"/>
      <c r="F75" s="8"/>
      <c r="G75" s="4">
        <v>44889</v>
      </c>
    </row>
    <row r="76" spans="1:7" x14ac:dyDescent="0.25">
      <c r="A76" s="1" t="s">
        <v>65</v>
      </c>
      <c r="B76" s="1" t="s">
        <v>33</v>
      </c>
      <c r="C76" s="1" t="s">
        <v>6</v>
      </c>
      <c r="D76" s="1">
        <v>12</v>
      </c>
      <c r="E76" s="7"/>
      <c r="F76" s="8"/>
      <c r="G76" s="4">
        <v>44917</v>
      </c>
    </row>
    <row r="77" spans="1:7" x14ac:dyDescent="0.25">
      <c r="A77" s="1" t="s">
        <v>66</v>
      </c>
      <c r="B77" s="1" t="s">
        <v>35</v>
      </c>
      <c r="C77" s="1" t="s">
        <v>22</v>
      </c>
      <c r="D77" s="1">
        <v>11</v>
      </c>
      <c r="E77" s="7"/>
      <c r="F77" s="8"/>
      <c r="G77" s="4">
        <v>45195</v>
      </c>
    </row>
    <row r="78" spans="1:7" x14ac:dyDescent="0.25">
      <c r="A78" s="1" t="s">
        <v>67</v>
      </c>
      <c r="B78" s="1" t="s">
        <v>31</v>
      </c>
      <c r="C78" s="1" t="s">
        <v>6</v>
      </c>
      <c r="D78" s="1">
        <v>12</v>
      </c>
      <c r="E78" s="7"/>
      <c r="F78" s="8"/>
      <c r="G78" s="4">
        <v>45228</v>
      </c>
    </row>
    <row r="79" spans="1:7" x14ac:dyDescent="0.25">
      <c r="A79" s="1" t="s">
        <v>68</v>
      </c>
      <c r="B79" s="1" t="s">
        <v>33</v>
      </c>
      <c r="C79" s="1" t="s">
        <v>22</v>
      </c>
      <c r="D79" s="1">
        <v>3</v>
      </c>
      <c r="E79" s="7"/>
      <c r="F79" s="8"/>
      <c r="G79" s="4">
        <v>44864</v>
      </c>
    </row>
    <row r="80" spans="1:7" x14ac:dyDescent="0.25">
      <c r="A80" s="1" t="s">
        <v>65</v>
      </c>
      <c r="B80" s="1" t="s">
        <v>35</v>
      </c>
      <c r="C80" s="1" t="s">
        <v>6</v>
      </c>
      <c r="D80" s="1">
        <v>24</v>
      </c>
      <c r="E80" s="7"/>
      <c r="F80" s="8"/>
      <c r="G80" s="4">
        <v>44565</v>
      </c>
    </row>
    <row r="81" spans="1:7" x14ac:dyDescent="0.25">
      <c r="A81" s="1" t="s">
        <v>66</v>
      </c>
      <c r="B81" s="1" t="s">
        <v>31</v>
      </c>
      <c r="C81" s="1" t="s">
        <v>22</v>
      </c>
      <c r="D81" s="1">
        <v>24</v>
      </c>
      <c r="E81" s="7"/>
      <c r="F81" s="8"/>
      <c r="G81" s="4">
        <v>45075</v>
      </c>
    </row>
    <row r="82" spans="1:7" x14ac:dyDescent="0.25">
      <c r="A82" s="1" t="s">
        <v>67</v>
      </c>
      <c r="B82" s="1" t="s">
        <v>33</v>
      </c>
      <c r="C82" s="1" t="s">
        <v>6</v>
      </c>
      <c r="D82" s="1">
        <v>17</v>
      </c>
      <c r="E82" s="7"/>
      <c r="F82" s="8"/>
      <c r="G82" s="4">
        <v>45409</v>
      </c>
    </row>
    <row r="83" spans="1:7" x14ac:dyDescent="0.25">
      <c r="A83" s="1" t="s">
        <v>68</v>
      </c>
      <c r="B83" s="1" t="s">
        <v>35</v>
      </c>
      <c r="C83" s="1" t="s">
        <v>8</v>
      </c>
      <c r="D83" s="1">
        <v>23</v>
      </c>
      <c r="E83" s="7"/>
      <c r="F83" s="8"/>
      <c r="G83" s="4">
        <v>44864</v>
      </c>
    </row>
    <row r="84" spans="1:7" x14ac:dyDescent="0.25">
      <c r="A84" s="1" t="s">
        <v>65</v>
      </c>
      <c r="B84" s="1" t="s">
        <v>31</v>
      </c>
      <c r="C84" s="1" t="s">
        <v>6</v>
      </c>
      <c r="D84" s="1">
        <v>20</v>
      </c>
      <c r="E84" s="7"/>
      <c r="F84" s="8"/>
      <c r="G84" s="4">
        <v>45523</v>
      </c>
    </row>
    <row r="85" spans="1:7" x14ac:dyDescent="0.25">
      <c r="A85" s="1" t="s">
        <v>66</v>
      </c>
      <c r="B85" s="1" t="s">
        <v>33</v>
      </c>
      <c r="C85" s="1" t="s">
        <v>22</v>
      </c>
      <c r="D85" s="1">
        <v>3</v>
      </c>
      <c r="E85" s="7"/>
      <c r="F85" s="8"/>
      <c r="G85" s="4">
        <v>44636</v>
      </c>
    </row>
    <row r="86" spans="1:7" x14ac:dyDescent="0.25">
      <c r="A86" s="1" t="s">
        <v>67</v>
      </c>
      <c r="B86" s="1" t="s">
        <v>35</v>
      </c>
      <c r="C86" s="1" t="s">
        <v>6</v>
      </c>
      <c r="D86" s="1">
        <v>7</v>
      </c>
      <c r="E86" s="7"/>
      <c r="F86" s="8"/>
      <c r="G86" s="4">
        <v>44794</v>
      </c>
    </row>
    <row r="87" spans="1:7" x14ac:dyDescent="0.25">
      <c r="A87" s="1" t="s">
        <v>68</v>
      </c>
      <c r="B87" s="1" t="s">
        <v>31</v>
      </c>
      <c r="C87" s="1" t="s">
        <v>22</v>
      </c>
      <c r="D87" s="1">
        <v>5</v>
      </c>
      <c r="E87" s="7"/>
      <c r="F87" s="8"/>
      <c r="G87" s="4">
        <v>45110</v>
      </c>
    </row>
    <row r="88" spans="1:7" x14ac:dyDescent="0.25">
      <c r="A88" s="1" t="s">
        <v>65</v>
      </c>
      <c r="B88" s="1" t="s">
        <v>33</v>
      </c>
      <c r="C88" s="1" t="s">
        <v>6</v>
      </c>
      <c r="D88" s="1">
        <v>24</v>
      </c>
      <c r="E88" s="7"/>
      <c r="F88" s="8"/>
      <c r="G88" s="4">
        <v>44952</v>
      </c>
    </row>
    <row r="89" spans="1:7" x14ac:dyDescent="0.25">
      <c r="A89" s="1" t="s">
        <v>66</v>
      </c>
      <c r="B89" s="1" t="s">
        <v>35</v>
      </c>
      <c r="C89" s="1" t="s">
        <v>22</v>
      </c>
      <c r="D89" s="1">
        <v>11</v>
      </c>
      <c r="E89" s="7"/>
      <c r="F89" s="8"/>
      <c r="G89" s="4">
        <v>44679</v>
      </c>
    </row>
    <row r="90" spans="1:7" x14ac:dyDescent="0.25">
      <c r="A90" s="1" t="s">
        <v>67</v>
      </c>
      <c r="B90" s="1" t="s">
        <v>31</v>
      </c>
      <c r="C90" s="1" t="s">
        <v>6</v>
      </c>
      <c r="D90" s="1">
        <v>21</v>
      </c>
      <c r="E90" s="7"/>
      <c r="F90" s="8"/>
      <c r="G90" s="4">
        <v>45122</v>
      </c>
    </row>
    <row r="91" spans="1:7" x14ac:dyDescent="0.25">
      <c r="A91" s="1" t="s">
        <v>68</v>
      </c>
      <c r="B91" s="1" t="s">
        <v>33</v>
      </c>
      <c r="C91" s="1" t="s">
        <v>22</v>
      </c>
      <c r="D91" s="1">
        <v>6</v>
      </c>
      <c r="E91" s="7"/>
      <c r="F91" s="8"/>
      <c r="G91" s="4">
        <v>45030</v>
      </c>
    </row>
    <row r="92" spans="1:7" x14ac:dyDescent="0.25">
      <c r="A92" s="1" t="s">
        <v>65</v>
      </c>
      <c r="B92" s="1" t="s">
        <v>35</v>
      </c>
      <c r="C92" s="1" t="s">
        <v>6</v>
      </c>
      <c r="D92" s="1">
        <v>9</v>
      </c>
      <c r="E92" s="7"/>
      <c r="F92" s="8"/>
      <c r="G92" s="4">
        <v>45144</v>
      </c>
    </row>
    <row r="93" spans="1:7" x14ac:dyDescent="0.25">
      <c r="A93" s="1" t="s">
        <v>66</v>
      </c>
      <c r="B93" s="1" t="s">
        <v>31</v>
      </c>
      <c r="C93" s="1" t="s">
        <v>22</v>
      </c>
      <c r="D93" s="1">
        <v>14</v>
      </c>
      <c r="E93" s="7"/>
      <c r="F93" s="8"/>
      <c r="G93" s="4">
        <v>45406</v>
      </c>
    </row>
    <row r="94" spans="1:7" x14ac:dyDescent="0.25">
      <c r="A94" s="1" t="s">
        <v>67</v>
      </c>
      <c r="B94" s="1" t="s">
        <v>33</v>
      </c>
      <c r="C94" s="1" t="s">
        <v>6</v>
      </c>
      <c r="D94" s="1">
        <v>20</v>
      </c>
      <c r="E94" s="7"/>
      <c r="F94" s="8"/>
      <c r="G94" s="4">
        <v>44837</v>
      </c>
    </row>
    <row r="95" spans="1:7" x14ac:dyDescent="0.25">
      <c r="A95" s="1" t="s">
        <v>68</v>
      </c>
      <c r="B95" s="1" t="s">
        <v>35</v>
      </c>
      <c r="C95" s="1" t="s">
        <v>22</v>
      </c>
      <c r="D95" s="1">
        <v>22</v>
      </c>
      <c r="E95" s="7"/>
      <c r="F95" s="8"/>
      <c r="G95" s="4">
        <v>45184</v>
      </c>
    </row>
    <row r="96" spans="1:7" x14ac:dyDescent="0.25">
      <c r="A96" s="1" t="s">
        <v>65</v>
      </c>
      <c r="B96" s="1" t="s">
        <v>31</v>
      </c>
      <c r="C96" s="1" t="s">
        <v>6</v>
      </c>
      <c r="D96" s="1">
        <v>9</v>
      </c>
      <c r="E96" s="7"/>
      <c r="F96" s="8"/>
      <c r="G96" s="4">
        <v>44823</v>
      </c>
    </row>
    <row r="97" spans="1:7" x14ac:dyDescent="0.25">
      <c r="A97" s="1" t="s">
        <v>66</v>
      </c>
      <c r="B97" s="1" t="s">
        <v>33</v>
      </c>
      <c r="C97" s="1" t="s">
        <v>22</v>
      </c>
      <c r="D97" s="1">
        <v>5</v>
      </c>
      <c r="E97" s="7"/>
      <c r="F97" s="8"/>
      <c r="G97" s="4">
        <v>45520</v>
      </c>
    </row>
    <row r="98" spans="1:7" x14ac:dyDescent="0.25">
      <c r="A98" s="1" t="s">
        <v>67</v>
      </c>
      <c r="B98" s="1" t="s">
        <v>35</v>
      </c>
      <c r="C98" s="1" t="s">
        <v>6</v>
      </c>
      <c r="D98" s="1">
        <v>5</v>
      </c>
      <c r="E98" s="7"/>
      <c r="F98" s="8"/>
      <c r="G98" s="4">
        <v>45324</v>
      </c>
    </row>
    <row r="99" spans="1:7" x14ac:dyDescent="0.25">
      <c r="A99" s="1" t="s">
        <v>68</v>
      </c>
      <c r="B99" s="1" t="s">
        <v>31</v>
      </c>
      <c r="C99" s="1" t="s">
        <v>22</v>
      </c>
      <c r="D99" s="1">
        <v>8</v>
      </c>
      <c r="E99" s="7"/>
      <c r="F99" s="8"/>
      <c r="G99" s="4">
        <v>44648</v>
      </c>
    </row>
    <row r="100" spans="1:7" x14ac:dyDescent="0.25">
      <c r="A100" s="1" t="s">
        <v>65</v>
      </c>
      <c r="B100" s="1" t="s">
        <v>33</v>
      </c>
      <c r="C100" s="1" t="s">
        <v>6</v>
      </c>
      <c r="D100" s="1">
        <v>16</v>
      </c>
      <c r="E100" s="7"/>
      <c r="F100" s="8"/>
      <c r="G100" s="4">
        <v>45589</v>
      </c>
    </row>
    <row r="101" spans="1:7" x14ac:dyDescent="0.25">
      <c r="A101" s="1" t="s">
        <v>66</v>
      </c>
      <c r="B101" s="1" t="s">
        <v>35</v>
      </c>
      <c r="C101" s="1" t="s">
        <v>22</v>
      </c>
      <c r="D101" s="1">
        <v>4</v>
      </c>
      <c r="E101" s="7"/>
      <c r="F101" s="8"/>
      <c r="G101" s="4">
        <v>44830</v>
      </c>
    </row>
    <row r="102" spans="1:7" x14ac:dyDescent="0.25">
      <c r="A102" s="1" t="s">
        <v>67</v>
      </c>
      <c r="B102" s="1" t="s">
        <v>31</v>
      </c>
      <c r="C102" s="1" t="s">
        <v>8</v>
      </c>
      <c r="D102" s="1">
        <v>19</v>
      </c>
      <c r="E102" s="7"/>
      <c r="F102" s="8"/>
      <c r="G102" s="4">
        <v>45314</v>
      </c>
    </row>
    <row r="103" spans="1:7" x14ac:dyDescent="0.25">
      <c r="A103" s="1" t="s">
        <v>68</v>
      </c>
      <c r="B103" s="1" t="s">
        <v>33</v>
      </c>
      <c r="C103" s="1" t="s">
        <v>22</v>
      </c>
      <c r="D103" s="1">
        <v>12</v>
      </c>
      <c r="E103" s="7"/>
      <c r="F103" s="8"/>
      <c r="G103" s="4">
        <v>45432</v>
      </c>
    </row>
    <row r="104" spans="1:7" x14ac:dyDescent="0.25">
      <c r="A104" s="1" t="s">
        <v>65</v>
      </c>
      <c r="B104" s="1" t="s">
        <v>35</v>
      </c>
      <c r="C104" s="1" t="s">
        <v>6</v>
      </c>
      <c r="D104" s="1">
        <v>19</v>
      </c>
      <c r="E104" s="7"/>
      <c r="F104" s="8"/>
      <c r="G104" s="4">
        <v>44657</v>
      </c>
    </row>
    <row r="105" spans="1:7" x14ac:dyDescent="0.25">
      <c r="A105" s="1" t="s">
        <v>66</v>
      </c>
      <c r="B105" s="1" t="s">
        <v>31</v>
      </c>
      <c r="C105" s="1" t="s">
        <v>22</v>
      </c>
      <c r="D105" s="1">
        <v>12</v>
      </c>
      <c r="E105" s="7"/>
      <c r="F105" s="8"/>
      <c r="G105" s="4">
        <v>45273</v>
      </c>
    </row>
    <row r="106" spans="1:7" x14ac:dyDescent="0.25">
      <c r="A106" s="1" t="s">
        <v>67</v>
      </c>
      <c r="B106" s="1" t="s">
        <v>31</v>
      </c>
      <c r="C106" s="1" t="s">
        <v>6</v>
      </c>
      <c r="D106" s="1">
        <v>7</v>
      </c>
      <c r="E106" s="7"/>
      <c r="F106" s="8"/>
      <c r="G106" s="4">
        <v>45546</v>
      </c>
    </row>
    <row r="107" spans="1:7" x14ac:dyDescent="0.25">
      <c r="A107" s="1" t="s">
        <v>68</v>
      </c>
      <c r="B107" s="1" t="s">
        <v>33</v>
      </c>
      <c r="C107" s="1" t="s">
        <v>22</v>
      </c>
      <c r="D107" s="1">
        <v>13</v>
      </c>
      <c r="E107" s="7"/>
      <c r="F107" s="8"/>
      <c r="G107" s="4">
        <v>45221</v>
      </c>
    </row>
    <row r="108" spans="1:7" x14ac:dyDescent="0.25">
      <c r="A108" s="1" t="s">
        <v>65</v>
      </c>
      <c r="B108" s="1" t="s">
        <v>35</v>
      </c>
      <c r="C108" s="1" t="s">
        <v>6</v>
      </c>
      <c r="D108" s="1">
        <v>17</v>
      </c>
      <c r="E108" s="7"/>
      <c r="F108" s="8"/>
      <c r="G108" s="4">
        <v>44810</v>
      </c>
    </row>
    <row r="109" spans="1:7" x14ac:dyDescent="0.25">
      <c r="A109" s="1" t="s">
        <v>66</v>
      </c>
      <c r="B109" s="1" t="s">
        <v>31</v>
      </c>
      <c r="C109" s="1" t="s">
        <v>8</v>
      </c>
      <c r="D109" s="1">
        <v>20</v>
      </c>
      <c r="E109" s="7"/>
      <c r="F109" s="8"/>
      <c r="G109" s="4">
        <v>44687</v>
      </c>
    </row>
    <row r="110" spans="1:7" x14ac:dyDescent="0.25">
      <c r="A110" s="1" t="s">
        <v>67</v>
      </c>
      <c r="B110" s="1" t="s">
        <v>33</v>
      </c>
      <c r="C110" s="1" t="s">
        <v>6</v>
      </c>
      <c r="D110" s="1">
        <v>22</v>
      </c>
      <c r="E110" s="7"/>
      <c r="F110" s="8"/>
      <c r="G110" s="4">
        <v>45508</v>
      </c>
    </row>
    <row r="111" spans="1:7" x14ac:dyDescent="0.25">
      <c r="A111" s="1" t="s">
        <v>68</v>
      </c>
      <c r="B111" s="1" t="s">
        <v>35</v>
      </c>
      <c r="C111" s="1" t="s">
        <v>22</v>
      </c>
      <c r="D111" s="1">
        <v>20</v>
      </c>
      <c r="E111" s="7"/>
      <c r="F111" s="8"/>
      <c r="G111" s="4">
        <v>45154</v>
      </c>
    </row>
    <row r="112" spans="1:7" x14ac:dyDescent="0.25">
      <c r="A112" s="1" t="s">
        <v>65</v>
      </c>
      <c r="B112" s="1" t="s">
        <v>31</v>
      </c>
      <c r="C112" s="1" t="s">
        <v>6</v>
      </c>
      <c r="D112" s="1">
        <v>3</v>
      </c>
      <c r="E112" s="7"/>
      <c r="F112" s="8"/>
      <c r="G112" s="4">
        <v>44646</v>
      </c>
    </row>
    <row r="113" spans="1:7" x14ac:dyDescent="0.25">
      <c r="A113" s="1" t="s">
        <v>66</v>
      </c>
      <c r="B113" s="1" t="s">
        <v>33</v>
      </c>
      <c r="C113" s="1" t="s">
        <v>22</v>
      </c>
      <c r="D113" s="1">
        <v>14</v>
      </c>
      <c r="E113" s="7"/>
      <c r="F113" s="8"/>
      <c r="G113" s="4">
        <v>44907</v>
      </c>
    </row>
    <row r="114" spans="1:7" x14ac:dyDescent="0.25">
      <c r="A114" s="1" t="s">
        <v>67</v>
      </c>
      <c r="B114" s="1" t="s">
        <v>35</v>
      </c>
      <c r="C114" s="1" t="s">
        <v>6</v>
      </c>
      <c r="D114" s="1">
        <v>14</v>
      </c>
      <c r="E114" s="7"/>
      <c r="F114" s="8"/>
      <c r="G114" s="4">
        <v>45068</v>
      </c>
    </row>
    <row r="115" spans="1:7" x14ac:dyDescent="0.25">
      <c r="A115" s="1" t="s">
        <v>68</v>
      </c>
      <c r="B115" s="1" t="s">
        <v>31</v>
      </c>
      <c r="C115" s="1" t="s">
        <v>22</v>
      </c>
      <c r="D115" s="1">
        <v>24</v>
      </c>
      <c r="E115" s="7"/>
      <c r="F115" s="8"/>
      <c r="G115" s="4">
        <v>45227</v>
      </c>
    </row>
    <row r="116" spans="1:7" x14ac:dyDescent="0.25">
      <c r="A116" s="1" t="s">
        <v>65</v>
      </c>
      <c r="B116" s="1" t="s">
        <v>33</v>
      </c>
      <c r="C116" s="1" t="s">
        <v>6</v>
      </c>
      <c r="D116" s="1">
        <v>20</v>
      </c>
      <c r="E116" s="7"/>
      <c r="F116" s="8"/>
      <c r="G116" s="4">
        <v>44795</v>
      </c>
    </row>
    <row r="117" spans="1:7" x14ac:dyDescent="0.25">
      <c r="A117" s="1" t="s">
        <v>66</v>
      </c>
      <c r="B117" s="1" t="s">
        <v>35</v>
      </c>
      <c r="C117" s="1" t="s">
        <v>8</v>
      </c>
      <c r="D117" s="1">
        <v>25</v>
      </c>
      <c r="E117" s="7"/>
      <c r="F117" s="8"/>
      <c r="G117" s="4">
        <v>44864</v>
      </c>
    </row>
    <row r="118" spans="1:7" x14ac:dyDescent="0.25">
      <c r="A118" s="1" t="s">
        <v>67</v>
      </c>
      <c r="B118" s="1" t="s">
        <v>31</v>
      </c>
      <c r="C118" s="1" t="s">
        <v>6</v>
      </c>
      <c r="D118" s="1">
        <v>20</v>
      </c>
      <c r="E118" s="7"/>
      <c r="F118" s="8"/>
      <c r="G118" s="4">
        <v>45376</v>
      </c>
    </row>
    <row r="119" spans="1:7" x14ac:dyDescent="0.25">
      <c r="A119" s="1" t="s">
        <v>68</v>
      </c>
      <c r="B119" s="1" t="s">
        <v>33</v>
      </c>
      <c r="C119" s="1" t="s">
        <v>22</v>
      </c>
      <c r="D119" s="1">
        <v>14</v>
      </c>
      <c r="E119" s="7"/>
      <c r="F119" s="8"/>
      <c r="G119" s="4">
        <v>44574</v>
      </c>
    </row>
    <row r="120" spans="1:7" x14ac:dyDescent="0.25">
      <c r="A120" s="1" t="s">
        <v>65</v>
      </c>
      <c r="B120" s="1" t="s">
        <v>35</v>
      </c>
      <c r="C120" s="1" t="s">
        <v>6</v>
      </c>
      <c r="D120" s="1">
        <v>23</v>
      </c>
      <c r="E120" s="7"/>
      <c r="F120" s="8"/>
      <c r="G120" s="4">
        <v>44707</v>
      </c>
    </row>
    <row r="121" spans="1:7" x14ac:dyDescent="0.25">
      <c r="A121" s="1" t="s">
        <v>66</v>
      </c>
      <c r="B121" s="1" t="s">
        <v>31</v>
      </c>
      <c r="C121" s="1" t="s">
        <v>22</v>
      </c>
      <c r="D121" s="1">
        <v>17</v>
      </c>
      <c r="E121" s="7"/>
      <c r="F121" s="8"/>
      <c r="G121" s="4">
        <v>44958</v>
      </c>
    </row>
    <row r="122" spans="1:7" x14ac:dyDescent="0.25">
      <c r="A122" s="1" t="s">
        <v>67</v>
      </c>
      <c r="B122" s="1" t="s">
        <v>33</v>
      </c>
      <c r="C122" s="1" t="s">
        <v>6</v>
      </c>
      <c r="D122" s="1">
        <v>22</v>
      </c>
      <c r="E122" s="7"/>
      <c r="F122" s="8"/>
      <c r="G122" s="4">
        <v>44578</v>
      </c>
    </row>
    <row r="123" spans="1:7" x14ac:dyDescent="0.25">
      <c r="A123" s="1" t="s">
        <v>68</v>
      </c>
      <c r="B123" s="1" t="s">
        <v>35</v>
      </c>
      <c r="C123" s="1" t="s">
        <v>22</v>
      </c>
      <c r="D123" s="1">
        <v>14</v>
      </c>
      <c r="E123" s="7"/>
      <c r="F123" s="8"/>
      <c r="G123" s="4">
        <v>44733</v>
      </c>
    </row>
    <row r="124" spans="1:7" x14ac:dyDescent="0.25">
      <c r="A124" s="1" t="s">
        <v>65</v>
      </c>
      <c r="B124" s="1" t="s">
        <v>31</v>
      </c>
      <c r="C124" s="1" t="s">
        <v>6</v>
      </c>
      <c r="D124" s="1">
        <v>22</v>
      </c>
      <c r="E124" s="7"/>
      <c r="F124" s="8"/>
      <c r="G124" s="4">
        <v>45554</v>
      </c>
    </row>
    <row r="125" spans="1:7" x14ac:dyDescent="0.25">
      <c r="A125" s="1" t="s">
        <v>66</v>
      </c>
      <c r="B125" s="1" t="s">
        <v>33</v>
      </c>
      <c r="C125" s="1" t="s">
        <v>22</v>
      </c>
      <c r="D125" s="1">
        <v>21</v>
      </c>
      <c r="E125" s="7"/>
      <c r="F125" s="8"/>
      <c r="G125" s="4">
        <v>45474</v>
      </c>
    </row>
    <row r="126" spans="1:7" x14ac:dyDescent="0.25">
      <c r="A126" s="1" t="s">
        <v>67</v>
      </c>
      <c r="B126" s="1" t="s">
        <v>35</v>
      </c>
      <c r="C126" s="1" t="s">
        <v>6</v>
      </c>
      <c r="D126" s="1">
        <v>14</v>
      </c>
      <c r="E126" s="7"/>
      <c r="F126" s="8"/>
      <c r="G126" s="4">
        <v>45073</v>
      </c>
    </row>
    <row r="127" spans="1:7" x14ac:dyDescent="0.25">
      <c r="A127" s="1" t="s">
        <v>68</v>
      </c>
      <c r="B127" s="1" t="s">
        <v>31</v>
      </c>
      <c r="C127" s="1" t="s">
        <v>22</v>
      </c>
      <c r="D127" s="1">
        <v>13</v>
      </c>
      <c r="E127" s="7"/>
      <c r="F127" s="8"/>
      <c r="G127" s="4">
        <v>45542</v>
      </c>
    </row>
    <row r="128" spans="1:7" x14ac:dyDescent="0.25">
      <c r="A128" s="1" t="s">
        <v>65</v>
      </c>
      <c r="B128" s="1" t="s">
        <v>33</v>
      </c>
      <c r="C128" s="1" t="s">
        <v>6</v>
      </c>
      <c r="D128" s="1">
        <v>18</v>
      </c>
      <c r="E128" s="7"/>
      <c r="F128" s="8"/>
      <c r="G128" s="4">
        <v>45248</v>
      </c>
    </row>
    <row r="129" spans="1:7" x14ac:dyDescent="0.25">
      <c r="A129" s="1" t="s">
        <v>66</v>
      </c>
      <c r="B129" s="1" t="s">
        <v>35</v>
      </c>
      <c r="C129" s="1" t="s">
        <v>22</v>
      </c>
      <c r="D129" s="1">
        <v>5</v>
      </c>
      <c r="E129" s="7"/>
      <c r="F129" s="8"/>
      <c r="G129" s="4">
        <v>44711</v>
      </c>
    </row>
    <row r="130" spans="1:7" x14ac:dyDescent="0.25">
      <c r="A130" s="1" t="s">
        <v>67</v>
      </c>
      <c r="B130" s="1" t="s">
        <v>31</v>
      </c>
      <c r="C130" s="1" t="s">
        <v>6</v>
      </c>
      <c r="D130" s="1">
        <v>23</v>
      </c>
      <c r="E130" s="7"/>
      <c r="F130" s="8"/>
      <c r="G130" s="4">
        <v>44736</v>
      </c>
    </row>
    <row r="131" spans="1:7" x14ac:dyDescent="0.25">
      <c r="A131" s="1" t="s">
        <v>68</v>
      </c>
      <c r="B131" s="1" t="s">
        <v>33</v>
      </c>
      <c r="C131" s="1" t="s">
        <v>22</v>
      </c>
      <c r="D131" s="1">
        <v>14</v>
      </c>
      <c r="E131" s="7"/>
      <c r="F131" s="8"/>
      <c r="G131" s="4">
        <v>44714</v>
      </c>
    </row>
    <row r="132" spans="1:7" x14ac:dyDescent="0.25">
      <c r="A132" s="1" t="s">
        <v>65</v>
      </c>
      <c r="B132" s="1" t="s">
        <v>35</v>
      </c>
      <c r="C132" s="1" t="s">
        <v>6</v>
      </c>
      <c r="D132" s="1">
        <v>14</v>
      </c>
      <c r="E132" s="7"/>
      <c r="F132" s="8"/>
      <c r="G132" s="4">
        <v>45531</v>
      </c>
    </row>
    <row r="133" spans="1:7" x14ac:dyDescent="0.25">
      <c r="A133" s="1" t="s">
        <v>66</v>
      </c>
      <c r="B133" s="1" t="s">
        <v>31</v>
      </c>
      <c r="C133" s="1" t="s">
        <v>22</v>
      </c>
      <c r="D133" s="1">
        <v>21</v>
      </c>
      <c r="E133" s="7"/>
      <c r="F133" s="8"/>
      <c r="G133" s="4">
        <v>45326</v>
      </c>
    </row>
    <row r="134" spans="1:7" x14ac:dyDescent="0.25">
      <c r="A134" s="1" t="s">
        <v>67</v>
      </c>
      <c r="B134" s="1" t="s">
        <v>33</v>
      </c>
      <c r="C134" s="1" t="s">
        <v>6</v>
      </c>
      <c r="D134" s="1">
        <v>15</v>
      </c>
      <c r="E134" s="7"/>
      <c r="F134" s="8"/>
      <c r="G134" s="4">
        <v>45011</v>
      </c>
    </row>
    <row r="135" spans="1:7" x14ac:dyDescent="0.25">
      <c r="A135" s="1" t="s">
        <v>68</v>
      </c>
      <c r="B135" s="1" t="s">
        <v>35</v>
      </c>
      <c r="C135" s="1" t="s">
        <v>22</v>
      </c>
      <c r="D135" s="1">
        <v>8</v>
      </c>
      <c r="E135" s="7"/>
      <c r="F135" s="8"/>
      <c r="G135" s="4">
        <v>44585</v>
      </c>
    </row>
    <row r="136" spans="1:7" x14ac:dyDescent="0.25">
      <c r="A136" s="1" t="s">
        <v>65</v>
      </c>
      <c r="B136" s="1" t="s">
        <v>31</v>
      </c>
      <c r="C136" s="1" t="s">
        <v>8</v>
      </c>
      <c r="D136" s="1">
        <v>10</v>
      </c>
      <c r="E136" s="7"/>
      <c r="F136" s="8"/>
      <c r="G136" s="4">
        <v>45559</v>
      </c>
    </row>
    <row r="137" spans="1:7" x14ac:dyDescent="0.25">
      <c r="A137" s="1" t="s">
        <v>66</v>
      </c>
      <c r="B137" s="1" t="s">
        <v>33</v>
      </c>
      <c r="C137" s="1" t="s">
        <v>22</v>
      </c>
      <c r="D137" s="1">
        <v>14</v>
      </c>
      <c r="E137" s="7"/>
      <c r="F137" s="8"/>
      <c r="G137" s="4">
        <v>44998</v>
      </c>
    </row>
    <row r="138" spans="1:7" x14ac:dyDescent="0.25">
      <c r="A138" s="1" t="s">
        <v>67</v>
      </c>
      <c r="B138" s="1" t="s">
        <v>35</v>
      </c>
      <c r="C138" s="1" t="s">
        <v>6</v>
      </c>
      <c r="D138" s="1">
        <v>23</v>
      </c>
      <c r="E138" s="7"/>
      <c r="F138" s="8"/>
      <c r="G138" s="4">
        <v>45359</v>
      </c>
    </row>
    <row r="139" spans="1:7" x14ac:dyDescent="0.25">
      <c r="A139" s="1" t="s">
        <v>68</v>
      </c>
      <c r="B139" s="1" t="s">
        <v>31</v>
      </c>
      <c r="C139" s="1" t="s">
        <v>22</v>
      </c>
      <c r="D139" s="1">
        <v>13</v>
      </c>
      <c r="E139" s="7"/>
      <c r="F139" s="8"/>
      <c r="G139" s="4">
        <v>44934</v>
      </c>
    </row>
    <row r="140" spans="1:7" x14ac:dyDescent="0.25">
      <c r="A140" s="1" t="s">
        <v>65</v>
      </c>
      <c r="B140" s="1" t="s">
        <v>31</v>
      </c>
      <c r="C140" s="1" t="s">
        <v>6</v>
      </c>
      <c r="D140" s="1">
        <v>17</v>
      </c>
      <c r="E140" s="7"/>
      <c r="F140" s="8"/>
      <c r="G140" s="4">
        <v>45415</v>
      </c>
    </row>
    <row r="141" spans="1:7" x14ac:dyDescent="0.25">
      <c r="A141" s="1" t="s">
        <v>66</v>
      </c>
      <c r="B141" s="1" t="s">
        <v>33</v>
      </c>
      <c r="C141" s="1" t="s">
        <v>22</v>
      </c>
      <c r="D141" s="1">
        <v>5</v>
      </c>
      <c r="E141" s="7"/>
      <c r="F141" s="8"/>
      <c r="G141" s="4">
        <v>45546</v>
      </c>
    </row>
    <row r="142" spans="1:7" x14ac:dyDescent="0.25">
      <c r="A142" s="1" t="s">
        <v>67</v>
      </c>
      <c r="B142" s="1" t="s">
        <v>35</v>
      </c>
      <c r="C142" s="1" t="s">
        <v>6</v>
      </c>
      <c r="D142" s="1">
        <v>18</v>
      </c>
      <c r="E142" s="7"/>
      <c r="F142" s="8"/>
      <c r="G142" s="4">
        <v>44664</v>
      </c>
    </row>
    <row r="143" spans="1:7" x14ac:dyDescent="0.25">
      <c r="A143" s="1" t="s">
        <v>68</v>
      </c>
      <c r="B143" s="1" t="s">
        <v>31</v>
      </c>
      <c r="C143" s="1" t="s">
        <v>8</v>
      </c>
      <c r="D143" s="1">
        <v>24</v>
      </c>
      <c r="E143" s="7"/>
      <c r="F143" s="8"/>
      <c r="G143" s="4">
        <v>45276</v>
      </c>
    </row>
    <row r="144" spans="1:7" x14ac:dyDescent="0.25">
      <c r="A144" s="1" t="s">
        <v>65</v>
      </c>
      <c r="B144" s="1" t="s">
        <v>33</v>
      </c>
      <c r="C144" s="1" t="s">
        <v>6</v>
      </c>
      <c r="D144" s="1">
        <v>11</v>
      </c>
      <c r="E144" s="7"/>
      <c r="F144" s="8"/>
      <c r="G144" s="4">
        <v>44852</v>
      </c>
    </row>
    <row r="145" spans="1:7" x14ac:dyDescent="0.25">
      <c r="A145" s="1" t="s">
        <v>66</v>
      </c>
      <c r="B145" s="1" t="s">
        <v>35</v>
      </c>
      <c r="C145" s="1" t="s">
        <v>22</v>
      </c>
      <c r="D145" s="1">
        <v>11</v>
      </c>
      <c r="E145" s="7"/>
      <c r="F145" s="8"/>
      <c r="G145" s="4">
        <v>44873</v>
      </c>
    </row>
    <row r="146" spans="1:7" x14ac:dyDescent="0.25">
      <c r="A146" s="1" t="s">
        <v>67</v>
      </c>
      <c r="B146" s="1" t="s">
        <v>31</v>
      </c>
      <c r="C146" s="1" t="s">
        <v>6</v>
      </c>
      <c r="D146" s="1">
        <v>20</v>
      </c>
      <c r="E146" s="7"/>
      <c r="F146" s="8"/>
      <c r="G146" s="4">
        <v>44861</v>
      </c>
    </row>
    <row r="147" spans="1:7" x14ac:dyDescent="0.25">
      <c r="A147" s="1" t="s">
        <v>68</v>
      </c>
      <c r="B147" s="1" t="s">
        <v>33</v>
      </c>
      <c r="C147" s="1" t="s">
        <v>22</v>
      </c>
      <c r="D147" s="1">
        <v>10</v>
      </c>
      <c r="E147" s="7"/>
      <c r="F147" s="8"/>
      <c r="G147" s="4">
        <v>45147</v>
      </c>
    </row>
    <row r="148" spans="1:7" x14ac:dyDescent="0.25">
      <c r="A148" s="1" t="s">
        <v>65</v>
      </c>
      <c r="B148" s="1" t="s">
        <v>35</v>
      </c>
      <c r="C148" s="1" t="s">
        <v>6</v>
      </c>
      <c r="D148" s="1">
        <v>22</v>
      </c>
      <c r="E148" s="7"/>
      <c r="F148" s="8"/>
      <c r="G148" s="4">
        <v>45119</v>
      </c>
    </row>
    <row r="149" spans="1:7" x14ac:dyDescent="0.25">
      <c r="A149" s="1" t="s">
        <v>66</v>
      </c>
      <c r="B149" s="1" t="s">
        <v>31</v>
      </c>
      <c r="C149" s="1" t="s">
        <v>22</v>
      </c>
      <c r="D149" s="1">
        <v>7</v>
      </c>
      <c r="E149" s="7"/>
      <c r="F149" s="8"/>
      <c r="G149" s="4">
        <v>44990</v>
      </c>
    </row>
    <row r="150" spans="1:7" x14ac:dyDescent="0.25">
      <c r="A150" s="1" t="s">
        <v>67</v>
      </c>
      <c r="B150" s="1" t="s">
        <v>33</v>
      </c>
      <c r="C150" s="1" t="s">
        <v>6</v>
      </c>
      <c r="D150" s="1">
        <v>8</v>
      </c>
      <c r="E150" s="7"/>
      <c r="F150" s="8"/>
      <c r="G150" s="4">
        <v>44911</v>
      </c>
    </row>
    <row r="151" spans="1:7" x14ac:dyDescent="0.25">
      <c r="A151" s="1" t="s">
        <v>68</v>
      </c>
      <c r="B151" s="1" t="s">
        <v>35</v>
      </c>
      <c r="C151" s="1" t="s">
        <v>8</v>
      </c>
      <c r="D151" s="1">
        <v>4</v>
      </c>
      <c r="E151" s="7"/>
      <c r="F151" s="8"/>
      <c r="G151" s="4">
        <v>45450</v>
      </c>
    </row>
    <row r="152" spans="1:7" x14ac:dyDescent="0.25">
      <c r="A152" s="1" t="s">
        <v>65</v>
      </c>
      <c r="B152" s="1" t="s">
        <v>31</v>
      </c>
      <c r="C152" s="1" t="s">
        <v>6</v>
      </c>
      <c r="D152" s="1">
        <v>15</v>
      </c>
      <c r="E152" s="7"/>
      <c r="F152" s="8"/>
      <c r="G152" s="4">
        <v>45150</v>
      </c>
    </row>
    <row r="153" spans="1:7" x14ac:dyDescent="0.25">
      <c r="A153" s="1" t="s">
        <v>66</v>
      </c>
      <c r="B153" s="1" t="s">
        <v>33</v>
      </c>
      <c r="C153" s="1" t="s">
        <v>22</v>
      </c>
      <c r="D153" s="1">
        <v>13</v>
      </c>
      <c r="E153" s="7"/>
      <c r="F153" s="8"/>
      <c r="G153" s="4">
        <v>45054</v>
      </c>
    </row>
    <row r="154" spans="1:7" x14ac:dyDescent="0.25">
      <c r="A154" s="1" t="s">
        <v>67</v>
      </c>
      <c r="B154" s="1" t="s">
        <v>35</v>
      </c>
      <c r="C154" s="1" t="s">
        <v>6</v>
      </c>
      <c r="D154" s="1">
        <v>3</v>
      </c>
      <c r="E154" s="7"/>
      <c r="F154" s="8"/>
      <c r="G154" s="4">
        <v>45412</v>
      </c>
    </row>
    <row r="155" spans="1:7" x14ac:dyDescent="0.25">
      <c r="A155" s="1" t="s">
        <v>68</v>
      </c>
      <c r="B155" s="1" t="s">
        <v>31</v>
      </c>
      <c r="C155" s="1" t="s">
        <v>22</v>
      </c>
      <c r="D155" s="1">
        <v>15</v>
      </c>
      <c r="E155" s="7"/>
      <c r="F155" s="8"/>
      <c r="G155" s="4">
        <v>45377</v>
      </c>
    </row>
    <row r="156" spans="1:7" x14ac:dyDescent="0.25">
      <c r="A156" s="1" t="s">
        <v>65</v>
      </c>
      <c r="B156" s="1" t="s">
        <v>33</v>
      </c>
      <c r="C156" s="1" t="s">
        <v>6</v>
      </c>
      <c r="D156" s="1">
        <v>20</v>
      </c>
      <c r="E156" s="7"/>
      <c r="F156" s="8"/>
      <c r="G156" s="4">
        <v>45391</v>
      </c>
    </row>
    <row r="157" spans="1:7" x14ac:dyDescent="0.25">
      <c r="A157" s="1" t="s">
        <v>66</v>
      </c>
      <c r="B157" s="1" t="s">
        <v>35</v>
      </c>
      <c r="C157" s="1" t="s">
        <v>22</v>
      </c>
      <c r="D157" s="1">
        <v>10</v>
      </c>
      <c r="E157" s="7"/>
      <c r="F157" s="8"/>
      <c r="G157" s="4">
        <v>44793</v>
      </c>
    </row>
    <row r="158" spans="1:7" x14ac:dyDescent="0.25">
      <c r="A158" s="1" t="s">
        <v>67</v>
      </c>
      <c r="B158" s="1" t="s">
        <v>31</v>
      </c>
      <c r="C158" s="1" t="s">
        <v>6</v>
      </c>
      <c r="D158" s="1">
        <v>3</v>
      </c>
      <c r="E158" s="7"/>
      <c r="F158" s="8"/>
      <c r="G158" s="4">
        <v>45206</v>
      </c>
    </row>
    <row r="159" spans="1:7" x14ac:dyDescent="0.25">
      <c r="A159" s="1" t="s">
        <v>68</v>
      </c>
      <c r="B159" s="1" t="s">
        <v>33</v>
      </c>
      <c r="C159" s="1" t="s">
        <v>22</v>
      </c>
      <c r="D159" s="1">
        <v>8</v>
      </c>
      <c r="E159" s="7"/>
      <c r="F159" s="8"/>
      <c r="G159" s="4">
        <v>45408</v>
      </c>
    </row>
    <row r="160" spans="1:7" x14ac:dyDescent="0.25">
      <c r="A160" s="1" t="s">
        <v>65</v>
      </c>
      <c r="B160" s="1" t="s">
        <v>35</v>
      </c>
      <c r="C160" s="1" t="s">
        <v>6</v>
      </c>
      <c r="D160" s="1">
        <v>12</v>
      </c>
      <c r="E160" s="7"/>
      <c r="F160" s="8"/>
      <c r="G160" s="4">
        <v>45426</v>
      </c>
    </row>
    <row r="161" spans="1:7" x14ac:dyDescent="0.25">
      <c r="A161" s="1" t="s">
        <v>66</v>
      </c>
      <c r="B161" s="1" t="s">
        <v>31</v>
      </c>
      <c r="C161" s="1" t="s">
        <v>22</v>
      </c>
      <c r="D161" s="1">
        <v>20</v>
      </c>
      <c r="E161" s="7"/>
      <c r="F161" s="8"/>
      <c r="G161" s="4">
        <v>45354</v>
      </c>
    </row>
    <row r="162" spans="1:7" x14ac:dyDescent="0.25">
      <c r="A162" s="1" t="s">
        <v>67</v>
      </c>
      <c r="B162" s="1" t="s">
        <v>33</v>
      </c>
      <c r="C162" s="1" t="s">
        <v>6</v>
      </c>
      <c r="D162" s="1">
        <v>15</v>
      </c>
      <c r="E162" s="7"/>
      <c r="F162" s="8"/>
      <c r="G162" s="4">
        <v>45371</v>
      </c>
    </row>
    <row r="163" spans="1:7" x14ac:dyDescent="0.25">
      <c r="A163" s="1" t="s">
        <v>68</v>
      </c>
      <c r="B163" s="1" t="s">
        <v>35</v>
      </c>
      <c r="C163" s="1" t="s">
        <v>22</v>
      </c>
      <c r="D163" s="1">
        <v>12</v>
      </c>
      <c r="E163" s="7"/>
      <c r="F163" s="8"/>
      <c r="G163" s="4">
        <v>45065</v>
      </c>
    </row>
    <row r="164" spans="1:7" x14ac:dyDescent="0.25">
      <c r="A164" s="1" t="s">
        <v>65</v>
      </c>
      <c r="B164" s="1" t="s">
        <v>31</v>
      </c>
      <c r="C164" s="1" t="s">
        <v>6</v>
      </c>
      <c r="D164" s="1">
        <v>9</v>
      </c>
      <c r="E164" s="7"/>
      <c r="F164" s="8"/>
      <c r="G164" s="4">
        <v>45046</v>
      </c>
    </row>
    <row r="165" spans="1:7" x14ac:dyDescent="0.25">
      <c r="A165" s="1" t="s">
        <v>66</v>
      </c>
      <c r="B165" s="1" t="s">
        <v>33</v>
      </c>
      <c r="C165" s="1" t="s">
        <v>22</v>
      </c>
      <c r="D165" s="1">
        <v>8</v>
      </c>
      <c r="E165" s="7"/>
      <c r="F165" s="8"/>
      <c r="G165" s="4">
        <v>45434</v>
      </c>
    </row>
    <row r="166" spans="1:7" x14ac:dyDescent="0.25">
      <c r="A166" s="1" t="s">
        <v>67</v>
      </c>
      <c r="B166" s="1" t="s">
        <v>35</v>
      </c>
      <c r="C166" s="1" t="s">
        <v>6</v>
      </c>
      <c r="D166" s="1">
        <v>25</v>
      </c>
      <c r="E166" s="7"/>
      <c r="F166" s="8"/>
      <c r="G166" s="4">
        <v>44627</v>
      </c>
    </row>
    <row r="167" spans="1:7" x14ac:dyDescent="0.25">
      <c r="A167" s="1" t="s">
        <v>68</v>
      </c>
      <c r="B167" s="1" t="s">
        <v>31</v>
      </c>
      <c r="C167" s="1" t="s">
        <v>22</v>
      </c>
      <c r="D167" s="1">
        <v>9</v>
      </c>
      <c r="E167" s="7"/>
      <c r="F167" s="8"/>
      <c r="G167" s="4">
        <v>44573</v>
      </c>
    </row>
    <row r="168" spans="1:7" x14ac:dyDescent="0.25">
      <c r="A168" s="1" t="s">
        <v>65</v>
      </c>
      <c r="B168" s="1" t="s">
        <v>33</v>
      </c>
      <c r="C168" s="1" t="s">
        <v>6</v>
      </c>
      <c r="D168" s="1">
        <v>10</v>
      </c>
      <c r="E168" s="7"/>
      <c r="F168" s="8"/>
      <c r="G168" s="4">
        <v>44748</v>
      </c>
    </row>
    <row r="169" spans="1:7" x14ac:dyDescent="0.25">
      <c r="A169" s="1" t="s">
        <v>66</v>
      </c>
      <c r="B169" s="1" t="s">
        <v>35</v>
      </c>
      <c r="C169" s="1" t="s">
        <v>22</v>
      </c>
      <c r="D169" s="1">
        <v>19</v>
      </c>
      <c r="E169" s="7"/>
      <c r="F169" s="8"/>
      <c r="G169" s="4">
        <v>44680</v>
      </c>
    </row>
    <row r="170" spans="1:7" x14ac:dyDescent="0.25">
      <c r="A170" s="1" t="s">
        <v>67</v>
      </c>
      <c r="B170" s="1" t="s">
        <v>31</v>
      </c>
      <c r="C170" s="1" t="s">
        <v>8</v>
      </c>
      <c r="D170" s="1">
        <v>18</v>
      </c>
      <c r="E170" s="7"/>
      <c r="F170" s="8"/>
      <c r="G170" s="4">
        <v>45545</v>
      </c>
    </row>
    <row r="171" spans="1:7" x14ac:dyDescent="0.25">
      <c r="A171" s="1" t="s">
        <v>68</v>
      </c>
      <c r="B171" s="1" t="s">
        <v>33</v>
      </c>
      <c r="C171" s="1" t="s">
        <v>22</v>
      </c>
      <c r="D171" s="1">
        <v>6</v>
      </c>
      <c r="E171" s="7"/>
      <c r="F171" s="8"/>
      <c r="G171" s="4">
        <v>44653</v>
      </c>
    </row>
    <row r="172" spans="1:7" x14ac:dyDescent="0.25">
      <c r="A172" s="1" t="s">
        <v>65</v>
      </c>
      <c r="B172" s="1" t="s">
        <v>35</v>
      </c>
      <c r="C172" s="1" t="s">
        <v>6</v>
      </c>
      <c r="D172" s="1">
        <v>15</v>
      </c>
      <c r="E172" s="7"/>
      <c r="F172" s="8"/>
      <c r="G172" s="4">
        <v>44820</v>
      </c>
    </row>
    <row r="173" spans="1:7" x14ac:dyDescent="0.25">
      <c r="A173" s="1" t="s">
        <v>66</v>
      </c>
      <c r="B173" s="1" t="s">
        <v>31</v>
      </c>
      <c r="C173" s="1" t="s">
        <v>22</v>
      </c>
      <c r="D173" s="1">
        <v>22</v>
      </c>
      <c r="E173" s="7"/>
      <c r="F173" s="8"/>
      <c r="G173" s="4">
        <v>44844</v>
      </c>
    </row>
    <row r="174" spans="1:7" x14ac:dyDescent="0.25">
      <c r="A174" s="1" t="s">
        <v>67</v>
      </c>
      <c r="B174" s="1" t="s">
        <v>31</v>
      </c>
      <c r="C174" s="1" t="s">
        <v>6</v>
      </c>
      <c r="D174" s="1">
        <v>14</v>
      </c>
      <c r="E174" s="7"/>
      <c r="F174" s="8"/>
      <c r="G174" s="4">
        <v>44595</v>
      </c>
    </row>
    <row r="175" spans="1:7" x14ac:dyDescent="0.25">
      <c r="A175" s="1" t="s">
        <v>68</v>
      </c>
      <c r="B175" s="1" t="s">
        <v>33</v>
      </c>
      <c r="C175" s="1" t="s">
        <v>22</v>
      </c>
      <c r="D175" s="1">
        <v>9</v>
      </c>
      <c r="E175" s="7"/>
      <c r="F175" s="8"/>
      <c r="G175" s="4">
        <v>45481</v>
      </c>
    </row>
    <row r="176" spans="1:7" x14ac:dyDescent="0.25">
      <c r="A176" s="1" t="s">
        <v>65</v>
      </c>
      <c r="B176" s="1" t="s">
        <v>35</v>
      </c>
      <c r="C176" s="1" t="s">
        <v>6</v>
      </c>
      <c r="D176" s="1">
        <v>20</v>
      </c>
      <c r="E176" s="7"/>
      <c r="F176" s="8"/>
      <c r="G176" s="4">
        <v>45133</v>
      </c>
    </row>
    <row r="177" spans="1:7" x14ac:dyDescent="0.25">
      <c r="A177" s="1" t="s">
        <v>66</v>
      </c>
      <c r="B177" s="1" t="s">
        <v>31</v>
      </c>
      <c r="C177" s="1" t="s">
        <v>8</v>
      </c>
      <c r="D177" s="1">
        <v>9</v>
      </c>
      <c r="E177" s="7"/>
      <c r="F177" s="8"/>
      <c r="G177" s="4">
        <v>45461</v>
      </c>
    </row>
    <row r="178" spans="1:7" x14ac:dyDescent="0.25">
      <c r="A178" s="1" t="s">
        <v>67</v>
      </c>
      <c r="B178" s="1" t="s">
        <v>33</v>
      </c>
      <c r="C178" s="1" t="s">
        <v>6</v>
      </c>
      <c r="D178" s="1">
        <v>10</v>
      </c>
      <c r="E178" s="7"/>
      <c r="F178" s="8"/>
      <c r="G178" s="4">
        <v>45156</v>
      </c>
    </row>
    <row r="179" spans="1:7" x14ac:dyDescent="0.25">
      <c r="A179" s="1" t="s">
        <v>68</v>
      </c>
      <c r="B179" s="1" t="s">
        <v>35</v>
      </c>
      <c r="C179" s="1" t="s">
        <v>22</v>
      </c>
      <c r="D179" s="1">
        <v>20</v>
      </c>
      <c r="E179" s="7"/>
      <c r="F179" s="8"/>
      <c r="G179" s="4">
        <v>44915</v>
      </c>
    </row>
    <row r="180" spans="1:7" x14ac:dyDescent="0.25">
      <c r="A180" s="1" t="s">
        <v>65</v>
      </c>
      <c r="B180" s="1" t="s">
        <v>31</v>
      </c>
      <c r="C180" s="1" t="s">
        <v>6</v>
      </c>
      <c r="D180" s="1">
        <v>12</v>
      </c>
      <c r="E180" s="7"/>
      <c r="F180" s="8"/>
      <c r="G180" s="4">
        <v>44756</v>
      </c>
    </row>
    <row r="181" spans="1:7" x14ac:dyDescent="0.25">
      <c r="A181" s="1" t="s">
        <v>66</v>
      </c>
      <c r="B181" s="1" t="s">
        <v>33</v>
      </c>
      <c r="C181" s="1" t="s">
        <v>22</v>
      </c>
      <c r="D181" s="1">
        <v>24</v>
      </c>
      <c r="E181" s="7"/>
      <c r="F181" s="8"/>
      <c r="G181" s="4">
        <v>45574</v>
      </c>
    </row>
    <row r="182" spans="1:7" x14ac:dyDescent="0.25">
      <c r="A182" s="1" t="s">
        <v>67</v>
      </c>
      <c r="B182" s="1" t="s">
        <v>35</v>
      </c>
      <c r="C182" s="1" t="s">
        <v>6</v>
      </c>
      <c r="D182" s="1">
        <v>25</v>
      </c>
      <c r="E182" s="7"/>
      <c r="F182" s="8"/>
      <c r="G182" s="4">
        <v>44571</v>
      </c>
    </row>
    <row r="183" spans="1:7" x14ac:dyDescent="0.25">
      <c r="A183" s="1" t="s">
        <v>68</v>
      </c>
      <c r="B183" s="1" t="s">
        <v>31</v>
      </c>
      <c r="C183" s="1" t="s">
        <v>22</v>
      </c>
      <c r="D183" s="1">
        <v>6</v>
      </c>
      <c r="E183" s="7"/>
      <c r="F183" s="8"/>
      <c r="G183" s="4">
        <v>44917</v>
      </c>
    </row>
    <row r="184" spans="1:7" x14ac:dyDescent="0.25">
      <c r="A184" s="1" t="s">
        <v>65</v>
      </c>
      <c r="B184" s="1" t="s">
        <v>33</v>
      </c>
      <c r="C184" s="1" t="s">
        <v>6</v>
      </c>
      <c r="D184" s="1">
        <v>20</v>
      </c>
      <c r="E184" s="7"/>
      <c r="F184" s="8"/>
      <c r="G184" s="4">
        <v>45057</v>
      </c>
    </row>
    <row r="185" spans="1:7" x14ac:dyDescent="0.25">
      <c r="A185" s="1" t="s">
        <v>66</v>
      </c>
      <c r="B185" s="1" t="s">
        <v>35</v>
      </c>
      <c r="C185" s="1" t="s">
        <v>8</v>
      </c>
      <c r="D185" s="1">
        <v>19</v>
      </c>
      <c r="E185" s="7"/>
      <c r="F185" s="8"/>
      <c r="G185" s="4">
        <v>44658</v>
      </c>
    </row>
    <row r="186" spans="1:7" x14ac:dyDescent="0.25">
      <c r="A186" s="1" t="s">
        <v>67</v>
      </c>
      <c r="B186" s="1" t="s">
        <v>31</v>
      </c>
      <c r="C186" s="1" t="s">
        <v>6</v>
      </c>
      <c r="D186" s="1">
        <v>18</v>
      </c>
      <c r="E186" s="7"/>
      <c r="F186" s="8"/>
      <c r="G186" s="4">
        <v>45512</v>
      </c>
    </row>
    <row r="187" spans="1:7" x14ac:dyDescent="0.25">
      <c r="A187" s="1" t="s">
        <v>68</v>
      </c>
      <c r="B187" s="1" t="s">
        <v>33</v>
      </c>
      <c r="C187" s="1" t="s">
        <v>22</v>
      </c>
      <c r="D187" s="1">
        <v>17</v>
      </c>
      <c r="E187" s="7"/>
      <c r="F187" s="8"/>
      <c r="G187" s="4">
        <v>44943</v>
      </c>
    </row>
    <row r="188" spans="1:7" x14ac:dyDescent="0.25">
      <c r="A188" s="1" t="s">
        <v>65</v>
      </c>
      <c r="B188" s="1" t="s">
        <v>35</v>
      </c>
      <c r="C188" s="1" t="s">
        <v>6</v>
      </c>
      <c r="D188" s="1">
        <v>9</v>
      </c>
      <c r="E188" s="7"/>
      <c r="F188" s="8"/>
      <c r="G188" s="4">
        <v>45021</v>
      </c>
    </row>
    <row r="189" spans="1:7" x14ac:dyDescent="0.25">
      <c r="A189" s="1" t="s">
        <v>66</v>
      </c>
      <c r="B189" s="1" t="s">
        <v>31</v>
      </c>
      <c r="C189" s="1" t="s">
        <v>22</v>
      </c>
      <c r="D189" s="1">
        <v>15</v>
      </c>
      <c r="E189" s="7"/>
      <c r="F189" s="8"/>
      <c r="G189" s="4">
        <v>44895</v>
      </c>
    </row>
    <row r="190" spans="1:7" x14ac:dyDescent="0.25">
      <c r="A190" s="1" t="s">
        <v>67</v>
      </c>
      <c r="B190" s="1" t="s">
        <v>33</v>
      </c>
      <c r="C190" s="1" t="s">
        <v>6</v>
      </c>
      <c r="D190" s="1">
        <v>5</v>
      </c>
      <c r="E190" s="7"/>
      <c r="F190" s="8"/>
      <c r="G190" s="4">
        <v>45402</v>
      </c>
    </row>
    <row r="191" spans="1:7" x14ac:dyDescent="0.25">
      <c r="A191" s="1" t="s">
        <v>68</v>
      </c>
      <c r="B191" s="1" t="s">
        <v>35</v>
      </c>
      <c r="C191" s="1" t="s">
        <v>22</v>
      </c>
      <c r="D191" s="1">
        <v>16</v>
      </c>
      <c r="E191" s="7"/>
      <c r="F191" s="8"/>
      <c r="G191" s="4">
        <v>44932</v>
      </c>
    </row>
    <row r="192" spans="1:7" x14ac:dyDescent="0.25">
      <c r="A192" s="1" t="s">
        <v>65</v>
      </c>
      <c r="B192" s="1" t="s">
        <v>31</v>
      </c>
      <c r="C192" s="1" t="s">
        <v>6</v>
      </c>
      <c r="D192" s="1">
        <v>24</v>
      </c>
      <c r="E192" s="7"/>
      <c r="F192" s="8"/>
      <c r="G192" s="4">
        <v>44787</v>
      </c>
    </row>
    <row r="193" spans="1:7" x14ac:dyDescent="0.25">
      <c r="A193" s="1" t="s">
        <v>66</v>
      </c>
      <c r="B193" s="1" t="s">
        <v>33</v>
      </c>
      <c r="C193" s="1" t="s">
        <v>22</v>
      </c>
      <c r="D193" s="1">
        <v>5</v>
      </c>
      <c r="E193" s="7"/>
      <c r="F193" s="8"/>
      <c r="G193" s="4">
        <v>45407</v>
      </c>
    </row>
    <row r="194" spans="1:7" x14ac:dyDescent="0.25">
      <c r="A194" s="1" t="s">
        <v>67</v>
      </c>
      <c r="B194" s="1" t="s">
        <v>35</v>
      </c>
      <c r="C194" s="1" t="s">
        <v>6</v>
      </c>
      <c r="D194" s="1">
        <v>11</v>
      </c>
      <c r="E194" s="7"/>
      <c r="F194" s="8"/>
      <c r="G194" s="4">
        <v>45438</v>
      </c>
    </row>
    <row r="195" spans="1:7" x14ac:dyDescent="0.25">
      <c r="A195" s="1" t="s">
        <v>68</v>
      </c>
      <c r="B195" s="1" t="s">
        <v>31</v>
      </c>
      <c r="C195" s="1" t="s">
        <v>22</v>
      </c>
      <c r="D195" s="1">
        <v>25</v>
      </c>
      <c r="E195" s="7"/>
      <c r="F195" s="8"/>
      <c r="G195" s="4">
        <v>45552</v>
      </c>
    </row>
    <row r="196" spans="1:7" x14ac:dyDescent="0.25">
      <c r="A196" s="1" t="s">
        <v>65</v>
      </c>
      <c r="B196" s="1" t="s">
        <v>33</v>
      </c>
      <c r="C196" s="1" t="s">
        <v>6</v>
      </c>
      <c r="D196" s="1">
        <v>15</v>
      </c>
      <c r="E196" s="7"/>
      <c r="F196" s="8"/>
      <c r="G196" s="4">
        <v>45308</v>
      </c>
    </row>
    <row r="197" spans="1:7" x14ac:dyDescent="0.25">
      <c r="A197" s="1" t="s">
        <v>66</v>
      </c>
      <c r="B197" s="1" t="s">
        <v>35</v>
      </c>
      <c r="C197" s="1" t="s">
        <v>22</v>
      </c>
      <c r="D197" s="1">
        <v>24</v>
      </c>
      <c r="E197" s="7"/>
      <c r="F197" s="8"/>
      <c r="G197" s="4">
        <v>44756</v>
      </c>
    </row>
    <row r="198" spans="1:7" x14ac:dyDescent="0.25">
      <c r="A198" s="1" t="s">
        <v>67</v>
      </c>
      <c r="B198" s="1" t="s">
        <v>31</v>
      </c>
      <c r="C198" s="1" t="s">
        <v>6</v>
      </c>
      <c r="D198" s="1">
        <v>11</v>
      </c>
      <c r="E198" s="7"/>
      <c r="F198" s="8"/>
      <c r="G198" s="4">
        <v>44835</v>
      </c>
    </row>
    <row r="199" spans="1:7" x14ac:dyDescent="0.25">
      <c r="A199" s="1" t="s">
        <v>68</v>
      </c>
      <c r="B199" s="1" t="s">
        <v>33</v>
      </c>
      <c r="C199" s="1" t="s">
        <v>22</v>
      </c>
      <c r="D199" s="1">
        <v>7</v>
      </c>
      <c r="E199" s="7"/>
      <c r="F199" s="8"/>
      <c r="G199" s="4">
        <v>44749</v>
      </c>
    </row>
    <row r="200" spans="1:7" x14ac:dyDescent="0.25">
      <c r="A200" s="1" t="s">
        <v>65</v>
      </c>
      <c r="B200" s="1" t="s">
        <v>35</v>
      </c>
      <c r="C200" s="1" t="s">
        <v>6</v>
      </c>
      <c r="D200" s="1">
        <v>15</v>
      </c>
      <c r="E200" s="7"/>
      <c r="F200" s="8"/>
      <c r="G200" s="4">
        <v>45338</v>
      </c>
    </row>
    <row r="201" spans="1:7" x14ac:dyDescent="0.25">
      <c r="A201" s="1" t="s">
        <v>66</v>
      </c>
      <c r="B201" s="1" t="s">
        <v>31</v>
      </c>
      <c r="C201" s="1" t="s">
        <v>22</v>
      </c>
      <c r="D201" s="1">
        <v>5</v>
      </c>
      <c r="E201" s="7"/>
      <c r="F201" s="8"/>
      <c r="G201" s="4">
        <v>44636</v>
      </c>
    </row>
    <row r="202" spans="1:7" x14ac:dyDescent="0.25">
      <c r="A202" s="1" t="s">
        <v>67</v>
      </c>
      <c r="B202" s="1" t="s">
        <v>33</v>
      </c>
      <c r="C202" s="1" t="s">
        <v>6</v>
      </c>
      <c r="D202" s="1">
        <v>17</v>
      </c>
      <c r="E202" s="7"/>
      <c r="F202" s="8"/>
      <c r="G202" s="4">
        <v>45218</v>
      </c>
    </row>
    <row r="203" spans="1:7" x14ac:dyDescent="0.25">
      <c r="A203" s="1" t="s">
        <v>68</v>
      </c>
      <c r="B203" s="1" t="s">
        <v>35</v>
      </c>
      <c r="C203" s="1" t="s">
        <v>22</v>
      </c>
      <c r="D203" s="1">
        <v>5</v>
      </c>
      <c r="E203" s="7"/>
      <c r="F203" s="8"/>
      <c r="G203" s="4">
        <v>45077</v>
      </c>
    </row>
    <row r="204" spans="1:7" x14ac:dyDescent="0.25">
      <c r="A204" s="1" t="s">
        <v>65</v>
      </c>
      <c r="B204" s="1" t="s">
        <v>31</v>
      </c>
      <c r="C204" s="1" t="s">
        <v>8</v>
      </c>
      <c r="D204" s="1">
        <v>25</v>
      </c>
      <c r="E204" s="7"/>
      <c r="F204" s="8"/>
      <c r="G204" s="4">
        <v>44731</v>
      </c>
    </row>
    <row r="205" spans="1:7" x14ac:dyDescent="0.25">
      <c r="A205" s="1" t="s">
        <v>66</v>
      </c>
      <c r="B205" s="1" t="s">
        <v>33</v>
      </c>
      <c r="C205" s="1" t="s">
        <v>22</v>
      </c>
      <c r="D205" s="1">
        <v>25</v>
      </c>
      <c r="E205" s="7"/>
      <c r="F205" s="8"/>
      <c r="G205" s="4">
        <v>45388</v>
      </c>
    </row>
    <row r="206" spans="1:7" x14ac:dyDescent="0.25">
      <c r="A206" s="1" t="s">
        <v>67</v>
      </c>
      <c r="B206" s="1" t="s">
        <v>35</v>
      </c>
      <c r="C206" s="1" t="s">
        <v>6</v>
      </c>
      <c r="D206" s="1">
        <v>9</v>
      </c>
      <c r="E206" s="7"/>
      <c r="F206" s="8"/>
      <c r="G206" s="4">
        <v>44770</v>
      </c>
    </row>
    <row r="207" spans="1:7" x14ac:dyDescent="0.25">
      <c r="A207" s="1" t="s">
        <v>68</v>
      </c>
      <c r="B207" s="1" t="s">
        <v>31</v>
      </c>
      <c r="C207" s="1" t="s">
        <v>22</v>
      </c>
      <c r="D207" s="1">
        <v>24</v>
      </c>
      <c r="E207" s="7"/>
      <c r="F207" s="8"/>
      <c r="G207" s="4">
        <v>44904</v>
      </c>
    </row>
    <row r="208" spans="1:7" x14ac:dyDescent="0.25">
      <c r="A208" s="1" t="s">
        <v>65</v>
      </c>
      <c r="B208" s="1" t="s">
        <v>31</v>
      </c>
      <c r="C208" s="1" t="s">
        <v>6</v>
      </c>
      <c r="D208" s="1">
        <v>14</v>
      </c>
      <c r="E208" s="7"/>
      <c r="F208" s="8"/>
      <c r="G208" s="4">
        <v>44655</v>
      </c>
    </row>
    <row r="209" spans="1:7" x14ac:dyDescent="0.25">
      <c r="A209" s="1" t="s">
        <v>66</v>
      </c>
      <c r="B209" s="1" t="s">
        <v>33</v>
      </c>
      <c r="C209" s="1" t="s">
        <v>22</v>
      </c>
      <c r="D209" s="1">
        <v>16</v>
      </c>
      <c r="E209" s="7"/>
      <c r="F209" s="8"/>
      <c r="G209" s="4">
        <v>45522</v>
      </c>
    </row>
    <row r="210" spans="1:7" x14ac:dyDescent="0.25">
      <c r="A210" s="1" t="s">
        <v>67</v>
      </c>
      <c r="B210" s="1" t="s">
        <v>35</v>
      </c>
      <c r="C210" s="1" t="s">
        <v>6</v>
      </c>
      <c r="D210" s="1">
        <v>6</v>
      </c>
      <c r="E210" s="7"/>
      <c r="F210" s="8"/>
      <c r="G210" s="4">
        <v>44905</v>
      </c>
    </row>
    <row r="211" spans="1:7" x14ac:dyDescent="0.25">
      <c r="A211" s="1" t="s">
        <v>68</v>
      </c>
      <c r="B211" s="1" t="s">
        <v>31</v>
      </c>
      <c r="C211" s="1" t="s">
        <v>8</v>
      </c>
      <c r="D211" s="1">
        <v>21</v>
      </c>
      <c r="E211" s="7"/>
      <c r="F211" s="8"/>
      <c r="G211" s="4">
        <v>44589</v>
      </c>
    </row>
    <row r="212" spans="1:7" x14ac:dyDescent="0.25">
      <c r="A212" s="1" t="s">
        <v>65</v>
      </c>
      <c r="B212" s="1" t="s">
        <v>33</v>
      </c>
      <c r="C212" s="1" t="s">
        <v>6</v>
      </c>
      <c r="D212" s="1">
        <v>13</v>
      </c>
      <c r="E212" s="7"/>
      <c r="F212" s="8"/>
      <c r="G212" s="4">
        <v>44995</v>
      </c>
    </row>
    <row r="213" spans="1:7" x14ac:dyDescent="0.25">
      <c r="A213" s="1" t="s">
        <v>66</v>
      </c>
      <c r="B213" s="1" t="s">
        <v>35</v>
      </c>
      <c r="C213" s="1" t="s">
        <v>22</v>
      </c>
      <c r="D213" s="1">
        <v>24</v>
      </c>
      <c r="E213" s="7"/>
      <c r="F213" s="8"/>
      <c r="G213" s="4">
        <v>44575</v>
      </c>
    </row>
    <row r="214" spans="1:7" x14ac:dyDescent="0.25">
      <c r="A214" s="1" t="s">
        <v>67</v>
      </c>
      <c r="B214" s="1" t="s">
        <v>31</v>
      </c>
      <c r="C214" s="1" t="s">
        <v>6</v>
      </c>
      <c r="D214" s="1">
        <v>13</v>
      </c>
      <c r="E214" s="7"/>
      <c r="F214" s="8"/>
      <c r="G214" s="4">
        <v>44608</v>
      </c>
    </row>
    <row r="215" spans="1:7" x14ac:dyDescent="0.25">
      <c r="A215" s="1" t="s">
        <v>68</v>
      </c>
      <c r="B215" s="1" t="s">
        <v>33</v>
      </c>
      <c r="C215" s="1" t="s">
        <v>22</v>
      </c>
      <c r="D215" s="1">
        <v>15</v>
      </c>
      <c r="E215" s="7"/>
      <c r="F215" s="8"/>
      <c r="G215" s="4">
        <v>44839</v>
      </c>
    </row>
    <row r="216" spans="1:7" x14ac:dyDescent="0.25">
      <c r="A216" s="1" t="s">
        <v>65</v>
      </c>
      <c r="B216" s="1" t="s">
        <v>35</v>
      </c>
      <c r="C216" s="1" t="s">
        <v>6</v>
      </c>
      <c r="D216" s="1">
        <v>3</v>
      </c>
      <c r="E216" s="7"/>
      <c r="F216" s="8"/>
      <c r="G216" s="4">
        <v>45109</v>
      </c>
    </row>
    <row r="217" spans="1:7" x14ac:dyDescent="0.25">
      <c r="A217" s="1" t="s">
        <v>66</v>
      </c>
      <c r="B217" s="1" t="s">
        <v>31</v>
      </c>
      <c r="C217" s="1" t="s">
        <v>22</v>
      </c>
      <c r="D217" s="1">
        <v>23</v>
      </c>
      <c r="E217" s="7"/>
      <c r="F217" s="8"/>
      <c r="G217" s="4">
        <v>44668</v>
      </c>
    </row>
    <row r="218" spans="1:7" x14ac:dyDescent="0.25">
      <c r="A218" s="1" t="s">
        <v>67</v>
      </c>
      <c r="B218" s="1" t="s">
        <v>33</v>
      </c>
      <c r="C218" s="1" t="s">
        <v>6</v>
      </c>
      <c r="D218" s="1">
        <v>22</v>
      </c>
      <c r="E218" s="7"/>
      <c r="F218" s="8"/>
      <c r="G218" s="4">
        <v>44936</v>
      </c>
    </row>
    <row r="219" spans="1:7" x14ac:dyDescent="0.25">
      <c r="A219" s="1" t="s">
        <v>68</v>
      </c>
      <c r="B219" s="1" t="s">
        <v>35</v>
      </c>
      <c r="C219" s="1" t="s">
        <v>8</v>
      </c>
      <c r="D219" s="1">
        <v>22</v>
      </c>
      <c r="E219" s="7"/>
      <c r="F219" s="8"/>
      <c r="G219" s="4">
        <v>44986</v>
      </c>
    </row>
    <row r="220" spans="1:7" x14ac:dyDescent="0.25">
      <c r="A220" s="1" t="s">
        <v>65</v>
      </c>
      <c r="B220" s="1" t="s">
        <v>31</v>
      </c>
      <c r="C220" s="1" t="s">
        <v>6</v>
      </c>
      <c r="D220" s="1">
        <v>20</v>
      </c>
      <c r="E220" s="7"/>
      <c r="F220" s="8"/>
      <c r="G220" s="4">
        <v>44722</v>
      </c>
    </row>
    <row r="221" spans="1:7" x14ac:dyDescent="0.25">
      <c r="A221" s="1" t="s">
        <v>66</v>
      </c>
      <c r="B221" s="1" t="s">
        <v>33</v>
      </c>
      <c r="C221" s="1" t="s">
        <v>22</v>
      </c>
      <c r="D221" s="1">
        <v>6</v>
      </c>
      <c r="E221" s="7"/>
      <c r="F221" s="8"/>
      <c r="G221" s="4">
        <v>45389</v>
      </c>
    </row>
    <row r="222" spans="1:7" x14ac:dyDescent="0.25">
      <c r="A222" s="1" t="s">
        <v>67</v>
      </c>
      <c r="B222" s="1" t="s">
        <v>35</v>
      </c>
      <c r="C222" s="1" t="s">
        <v>6</v>
      </c>
      <c r="D222" s="1">
        <v>6</v>
      </c>
      <c r="E222" s="7"/>
      <c r="F222" s="8"/>
      <c r="G222" s="4">
        <v>45209</v>
      </c>
    </row>
    <row r="223" spans="1:7" x14ac:dyDescent="0.25">
      <c r="A223" s="1" t="s">
        <v>68</v>
      </c>
      <c r="B223" s="1" t="s">
        <v>31</v>
      </c>
      <c r="C223" s="1" t="s">
        <v>22</v>
      </c>
      <c r="D223" s="1">
        <v>15</v>
      </c>
      <c r="E223" s="7"/>
      <c r="F223" s="8"/>
      <c r="G223" s="4">
        <v>44605</v>
      </c>
    </row>
    <row r="224" spans="1:7" x14ac:dyDescent="0.25">
      <c r="A224" s="1" t="s">
        <v>65</v>
      </c>
      <c r="B224" s="1" t="s">
        <v>33</v>
      </c>
      <c r="C224" s="1" t="s">
        <v>6</v>
      </c>
      <c r="D224" s="1">
        <v>3</v>
      </c>
      <c r="E224" s="7"/>
      <c r="F224" s="8"/>
      <c r="G224" s="4">
        <v>45436</v>
      </c>
    </row>
    <row r="225" spans="1:7" x14ac:dyDescent="0.25">
      <c r="A225" s="1" t="s">
        <v>66</v>
      </c>
      <c r="B225" s="1" t="s">
        <v>35</v>
      </c>
      <c r="C225" s="1" t="s">
        <v>22</v>
      </c>
      <c r="D225" s="1">
        <v>17</v>
      </c>
      <c r="E225" s="7"/>
      <c r="F225" s="8"/>
      <c r="G225" s="4">
        <v>45315</v>
      </c>
    </row>
    <row r="226" spans="1:7" x14ac:dyDescent="0.25">
      <c r="A226" s="1" t="s">
        <v>67</v>
      </c>
      <c r="B226" s="1" t="s">
        <v>31</v>
      </c>
      <c r="C226" s="1" t="s">
        <v>6</v>
      </c>
      <c r="D226" s="1">
        <v>14</v>
      </c>
      <c r="E226" s="7"/>
      <c r="F226" s="8"/>
      <c r="G226" s="4">
        <v>45530</v>
      </c>
    </row>
    <row r="227" spans="1:7" x14ac:dyDescent="0.25">
      <c r="A227" s="1" t="s">
        <v>68</v>
      </c>
      <c r="B227" s="1" t="s">
        <v>33</v>
      </c>
      <c r="C227" s="1" t="s">
        <v>22</v>
      </c>
      <c r="D227" s="1">
        <v>23</v>
      </c>
      <c r="E227" s="7"/>
      <c r="F227" s="8"/>
      <c r="G227" s="4">
        <v>45377</v>
      </c>
    </row>
    <row r="228" spans="1:7" x14ac:dyDescent="0.25">
      <c r="A228" s="1" t="s">
        <v>65</v>
      </c>
      <c r="B228" s="1" t="s">
        <v>35</v>
      </c>
      <c r="C228" s="1" t="s">
        <v>6</v>
      </c>
      <c r="D228" s="1">
        <v>7</v>
      </c>
      <c r="E228" s="7"/>
      <c r="F228" s="8"/>
      <c r="G228" s="4">
        <v>44590</v>
      </c>
    </row>
    <row r="229" spans="1:7" x14ac:dyDescent="0.25">
      <c r="A229" s="1" t="s">
        <v>66</v>
      </c>
      <c r="B229" s="1" t="s">
        <v>31</v>
      </c>
      <c r="C229" s="1" t="s">
        <v>22</v>
      </c>
      <c r="D229" s="1">
        <v>23</v>
      </c>
      <c r="E229" s="7"/>
      <c r="F229" s="8"/>
      <c r="G229" s="4">
        <v>44650</v>
      </c>
    </row>
    <row r="230" spans="1:7" x14ac:dyDescent="0.25">
      <c r="A230" s="1" t="s">
        <v>67</v>
      </c>
      <c r="B230" s="1" t="s">
        <v>33</v>
      </c>
      <c r="C230" s="1" t="s">
        <v>6</v>
      </c>
      <c r="D230" s="1">
        <v>15</v>
      </c>
      <c r="E230" s="7"/>
      <c r="F230" s="8"/>
      <c r="G230" s="4">
        <v>44845</v>
      </c>
    </row>
    <row r="231" spans="1:7" x14ac:dyDescent="0.25">
      <c r="A231" s="1" t="s">
        <v>68</v>
      </c>
      <c r="B231" s="1" t="s">
        <v>35</v>
      </c>
      <c r="C231" s="1" t="s">
        <v>22</v>
      </c>
      <c r="D231" s="1">
        <v>24</v>
      </c>
      <c r="E231" s="7"/>
      <c r="F231" s="8"/>
      <c r="G231" s="4">
        <v>45361</v>
      </c>
    </row>
    <row r="232" spans="1:7" x14ac:dyDescent="0.25">
      <c r="A232" s="1" t="s">
        <v>65</v>
      </c>
      <c r="B232" s="1" t="s">
        <v>31</v>
      </c>
      <c r="C232" s="1" t="s">
        <v>6</v>
      </c>
      <c r="D232" s="1">
        <v>15</v>
      </c>
      <c r="E232" s="7"/>
      <c r="F232" s="8"/>
      <c r="G232" s="4">
        <v>45189</v>
      </c>
    </row>
    <row r="233" spans="1:7" x14ac:dyDescent="0.25">
      <c r="A233" s="1" t="s">
        <v>66</v>
      </c>
      <c r="B233" s="1" t="s">
        <v>33</v>
      </c>
      <c r="C233" s="1" t="s">
        <v>22</v>
      </c>
      <c r="D233" s="1">
        <v>17</v>
      </c>
      <c r="E233" s="7"/>
      <c r="F233" s="8"/>
      <c r="G233" s="4">
        <v>45451</v>
      </c>
    </row>
    <row r="234" spans="1:7" x14ac:dyDescent="0.25">
      <c r="A234" s="1" t="s">
        <v>67</v>
      </c>
      <c r="B234" s="1" t="s">
        <v>35</v>
      </c>
      <c r="C234" s="1" t="s">
        <v>6</v>
      </c>
      <c r="D234" s="1">
        <v>7</v>
      </c>
      <c r="E234" s="7"/>
      <c r="F234" s="8"/>
      <c r="G234" s="4">
        <v>45397</v>
      </c>
    </row>
    <row r="235" spans="1:7" x14ac:dyDescent="0.25">
      <c r="A235" s="1" t="s">
        <v>68</v>
      </c>
      <c r="B235" s="1" t="s">
        <v>31</v>
      </c>
      <c r="C235" s="1" t="s">
        <v>22</v>
      </c>
      <c r="D235" s="1">
        <v>19</v>
      </c>
      <c r="E235" s="7"/>
      <c r="F235" s="8"/>
      <c r="G235" s="4">
        <v>45143</v>
      </c>
    </row>
    <row r="236" spans="1:7" x14ac:dyDescent="0.25">
      <c r="A236" s="1" t="s">
        <v>65</v>
      </c>
      <c r="B236" s="1" t="s">
        <v>33</v>
      </c>
      <c r="C236" s="1" t="s">
        <v>6</v>
      </c>
      <c r="D236" s="1">
        <v>23</v>
      </c>
      <c r="E236" s="7"/>
      <c r="F236" s="8"/>
      <c r="G236" s="4">
        <v>44920</v>
      </c>
    </row>
    <row r="237" spans="1:7" x14ac:dyDescent="0.25">
      <c r="A237" s="1" t="s">
        <v>66</v>
      </c>
      <c r="B237" s="1" t="s">
        <v>35</v>
      </c>
      <c r="C237" s="1" t="s">
        <v>22</v>
      </c>
      <c r="D237" s="1">
        <v>12</v>
      </c>
      <c r="E237" s="7"/>
      <c r="F237" s="8"/>
      <c r="G237" s="4">
        <v>44599</v>
      </c>
    </row>
    <row r="238" spans="1:7" x14ac:dyDescent="0.25">
      <c r="A238" s="1" t="s">
        <v>67</v>
      </c>
      <c r="B238" s="1" t="s">
        <v>31</v>
      </c>
      <c r="C238" s="1" t="s">
        <v>8</v>
      </c>
      <c r="D238" s="1">
        <v>11</v>
      </c>
      <c r="E238" s="7"/>
      <c r="F238" s="8"/>
      <c r="G238" s="4">
        <v>45372</v>
      </c>
    </row>
    <row r="239" spans="1:7" x14ac:dyDescent="0.25">
      <c r="A239" s="1" t="s">
        <v>68</v>
      </c>
      <c r="B239" s="1" t="s">
        <v>33</v>
      </c>
      <c r="C239" s="1" t="s">
        <v>22</v>
      </c>
      <c r="D239" s="1">
        <v>13</v>
      </c>
      <c r="E239" s="7"/>
      <c r="F239" s="8"/>
      <c r="G239" s="4">
        <v>45594</v>
      </c>
    </row>
    <row r="240" spans="1:7" x14ac:dyDescent="0.25">
      <c r="A240" s="1" t="s">
        <v>65</v>
      </c>
      <c r="B240" s="1" t="s">
        <v>35</v>
      </c>
      <c r="C240" s="1" t="s">
        <v>6</v>
      </c>
      <c r="D240" s="1">
        <v>21</v>
      </c>
      <c r="E240" s="7"/>
      <c r="F240" s="8"/>
      <c r="G240" s="4">
        <v>44931</v>
      </c>
    </row>
    <row r="241" spans="1:7" x14ac:dyDescent="0.25">
      <c r="A241" s="1" t="s">
        <v>66</v>
      </c>
      <c r="B241" s="1" t="s">
        <v>31</v>
      </c>
      <c r="C241" s="1" t="s">
        <v>22</v>
      </c>
      <c r="D241" s="1">
        <v>3</v>
      </c>
      <c r="E241" s="7"/>
      <c r="F241" s="8"/>
      <c r="G241" s="4">
        <v>45357</v>
      </c>
    </row>
    <row r="242" spans="1:7" x14ac:dyDescent="0.25">
      <c r="A242" s="1" t="s">
        <v>67</v>
      </c>
      <c r="B242" s="1" t="s">
        <v>31</v>
      </c>
      <c r="C242" s="1" t="s">
        <v>6</v>
      </c>
      <c r="D242" s="1">
        <v>24</v>
      </c>
      <c r="E242" s="7"/>
      <c r="F242" s="8"/>
      <c r="G242" s="4">
        <v>44753</v>
      </c>
    </row>
    <row r="243" spans="1:7" x14ac:dyDescent="0.25">
      <c r="A243" s="1" t="s">
        <v>68</v>
      </c>
      <c r="B243" s="1" t="s">
        <v>33</v>
      </c>
      <c r="C243" s="1" t="s">
        <v>22</v>
      </c>
      <c r="D243" s="1">
        <v>9</v>
      </c>
      <c r="E243" s="7"/>
      <c r="F243" s="8"/>
      <c r="G243" s="4">
        <v>44891</v>
      </c>
    </row>
    <row r="244" spans="1:7" x14ac:dyDescent="0.25">
      <c r="A244" s="1" t="s">
        <v>65</v>
      </c>
      <c r="B244" s="1" t="s">
        <v>35</v>
      </c>
      <c r="C244" s="1" t="s">
        <v>6</v>
      </c>
      <c r="D244" s="1">
        <v>14</v>
      </c>
      <c r="E244" s="7"/>
      <c r="F244" s="8"/>
      <c r="G244" s="4">
        <v>44654</v>
      </c>
    </row>
    <row r="245" spans="1:7" x14ac:dyDescent="0.25">
      <c r="A245" s="1" t="s">
        <v>66</v>
      </c>
      <c r="B245" s="1" t="s">
        <v>31</v>
      </c>
      <c r="C245" s="1" t="s">
        <v>8</v>
      </c>
      <c r="D245" s="1">
        <v>16</v>
      </c>
      <c r="E245" s="7"/>
      <c r="F245" s="8"/>
      <c r="G245" s="4">
        <v>44940</v>
      </c>
    </row>
    <row r="246" spans="1:7" x14ac:dyDescent="0.25">
      <c r="A246" s="1" t="s">
        <v>67</v>
      </c>
      <c r="B246" s="1" t="s">
        <v>33</v>
      </c>
      <c r="C246" s="1" t="s">
        <v>6</v>
      </c>
      <c r="D246" s="1">
        <v>11</v>
      </c>
      <c r="E246" s="7"/>
      <c r="F246" s="8"/>
      <c r="G246" s="4">
        <v>44602</v>
      </c>
    </row>
    <row r="247" spans="1:7" x14ac:dyDescent="0.25">
      <c r="A247" s="1" t="s">
        <v>68</v>
      </c>
      <c r="B247" s="1" t="s">
        <v>35</v>
      </c>
      <c r="C247" s="1" t="s">
        <v>22</v>
      </c>
      <c r="D247" s="1">
        <v>9</v>
      </c>
      <c r="E247" s="7"/>
      <c r="F247" s="8"/>
      <c r="G247" s="4">
        <v>45199</v>
      </c>
    </row>
    <row r="248" spans="1:7" x14ac:dyDescent="0.25">
      <c r="A248" s="1" t="s">
        <v>65</v>
      </c>
      <c r="B248" s="1" t="s">
        <v>31</v>
      </c>
      <c r="C248" s="1" t="s">
        <v>6</v>
      </c>
      <c r="D248" s="1">
        <v>15</v>
      </c>
      <c r="E248" s="7"/>
      <c r="F248" s="8"/>
      <c r="G248" s="4">
        <v>45044</v>
      </c>
    </row>
    <row r="249" spans="1:7" x14ac:dyDescent="0.25">
      <c r="A249" s="1" t="s">
        <v>66</v>
      </c>
      <c r="B249" s="1" t="s">
        <v>33</v>
      </c>
      <c r="C249" s="1" t="s">
        <v>22</v>
      </c>
      <c r="D249" s="1">
        <v>21</v>
      </c>
      <c r="E249" s="7"/>
      <c r="F249" s="8"/>
      <c r="G249" s="4">
        <v>45549</v>
      </c>
    </row>
    <row r="250" spans="1:7" x14ac:dyDescent="0.25">
      <c r="A250" s="1" t="s">
        <v>67</v>
      </c>
      <c r="B250" s="1" t="s">
        <v>35</v>
      </c>
      <c r="C250" s="1" t="s">
        <v>6</v>
      </c>
      <c r="D250" s="1">
        <v>24</v>
      </c>
      <c r="E250" s="7"/>
      <c r="F250" s="8"/>
      <c r="G250" s="4">
        <v>45127</v>
      </c>
    </row>
    <row r="251" spans="1:7" x14ac:dyDescent="0.25">
      <c r="A251" s="1" t="s">
        <v>68</v>
      </c>
      <c r="B251" s="1" t="s">
        <v>31</v>
      </c>
      <c r="C251" s="1" t="s">
        <v>22</v>
      </c>
      <c r="D251" s="1">
        <v>17</v>
      </c>
      <c r="E251" s="7"/>
      <c r="F251" s="8"/>
      <c r="G251" s="4">
        <v>45308</v>
      </c>
    </row>
    <row r="252" spans="1:7" x14ac:dyDescent="0.25">
      <c r="A252" s="1" t="s">
        <v>65</v>
      </c>
      <c r="B252" s="1" t="s">
        <v>33</v>
      </c>
      <c r="C252" s="1" t="s">
        <v>6</v>
      </c>
      <c r="D252" s="1">
        <v>11</v>
      </c>
      <c r="E252" s="7"/>
      <c r="F252" s="8"/>
      <c r="G252" s="4">
        <v>45321</v>
      </c>
    </row>
    <row r="253" spans="1:7" x14ac:dyDescent="0.25">
      <c r="A253" s="1" t="s">
        <v>66</v>
      </c>
      <c r="B253" s="1" t="s">
        <v>35</v>
      </c>
      <c r="C253" s="1" t="s">
        <v>8</v>
      </c>
      <c r="D253" s="1">
        <v>17</v>
      </c>
      <c r="E253" s="7"/>
      <c r="F253" s="8"/>
      <c r="G253" s="4">
        <v>45140</v>
      </c>
    </row>
    <row r="254" spans="1:7" x14ac:dyDescent="0.25">
      <c r="A254" s="1" t="s">
        <v>67</v>
      </c>
      <c r="B254" s="1" t="s">
        <v>31</v>
      </c>
      <c r="C254" s="1" t="s">
        <v>6</v>
      </c>
      <c r="D254" s="1">
        <v>18</v>
      </c>
      <c r="E254" s="7"/>
      <c r="F254" s="8"/>
      <c r="G254" s="4">
        <v>45102</v>
      </c>
    </row>
    <row r="255" spans="1:7" x14ac:dyDescent="0.25">
      <c r="A255" s="1" t="s">
        <v>68</v>
      </c>
      <c r="B255" s="1" t="s">
        <v>33</v>
      </c>
      <c r="C255" s="1" t="s">
        <v>22</v>
      </c>
      <c r="D255" s="1">
        <v>14</v>
      </c>
      <c r="E255" s="7"/>
      <c r="F255" s="8"/>
      <c r="G255" s="4">
        <v>44619</v>
      </c>
    </row>
    <row r="256" spans="1:7" x14ac:dyDescent="0.25">
      <c r="A256" s="1" t="s">
        <v>65</v>
      </c>
      <c r="B256" s="1" t="s">
        <v>35</v>
      </c>
      <c r="C256" s="1" t="s">
        <v>6</v>
      </c>
      <c r="D256" s="1">
        <v>9</v>
      </c>
      <c r="E256" s="7"/>
      <c r="F256" s="8"/>
      <c r="G256" s="4">
        <v>45594</v>
      </c>
    </row>
    <row r="257" spans="1:7" x14ac:dyDescent="0.25">
      <c r="A257" s="1" t="s">
        <v>66</v>
      </c>
      <c r="B257" s="1" t="s">
        <v>31</v>
      </c>
      <c r="C257" s="1" t="s">
        <v>22</v>
      </c>
      <c r="D257" s="1">
        <v>6</v>
      </c>
      <c r="E257" s="7"/>
      <c r="F257" s="8"/>
      <c r="G257" s="4">
        <v>45117</v>
      </c>
    </row>
    <row r="258" spans="1:7" x14ac:dyDescent="0.25">
      <c r="A258" s="1" t="s">
        <v>67</v>
      </c>
      <c r="B258" s="1" t="s">
        <v>33</v>
      </c>
      <c r="C258" s="1" t="s">
        <v>6</v>
      </c>
      <c r="D258" s="1">
        <v>23</v>
      </c>
      <c r="E258" s="7"/>
      <c r="F258" s="8"/>
      <c r="G258" s="4">
        <v>44687</v>
      </c>
    </row>
    <row r="259" spans="1:7" x14ac:dyDescent="0.25">
      <c r="A259" s="1" t="s">
        <v>68</v>
      </c>
      <c r="B259" s="1" t="s">
        <v>35</v>
      </c>
      <c r="C259" s="1" t="s">
        <v>22</v>
      </c>
      <c r="D259" s="1">
        <v>22</v>
      </c>
      <c r="E259" s="7"/>
      <c r="F259" s="8"/>
      <c r="G259" s="4">
        <v>45123</v>
      </c>
    </row>
    <row r="260" spans="1:7" x14ac:dyDescent="0.25">
      <c r="A260" s="1" t="s">
        <v>65</v>
      </c>
      <c r="B260" s="1" t="s">
        <v>31</v>
      </c>
      <c r="C260" s="1" t="s">
        <v>6</v>
      </c>
      <c r="D260" s="1">
        <v>21</v>
      </c>
      <c r="E260" s="7"/>
      <c r="F260" s="8"/>
      <c r="G260" s="4">
        <v>45090</v>
      </c>
    </row>
    <row r="261" spans="1:7" x14ac:dyDescent="0.25">
      <c r="A261" s="1" t="s">
        <v>66</v>
      </c>
      <c r="B261" s="1" t="s">
        <v>33</v>
      </c>
      <c r="C261" s="1" t="s">
        <v>22</v>
      </c>
      <c r="D261" s="1">
        <v>5</v>
      </c>
      <c r="E261" s="7"/>
      <c r="F261" s="8"/>
      <c r="G261" s="4">
        <v>44826</v>
      </c>
    </row>
    <row r="262" spans="1:7" x14ac:dyDescent="0.25">
      <c r="A262" s="1" t="s">
        <v>67</v>
      </c>
      <c r="B262" s="1" t="s">
        <v>35</v>
      </c>
      <c r="C262" s="1" t="s">
        <v>6</v>
      </c>
      <c r="D262" s="1">
        <v>4</v>
      </c>
      <c r="E262" s="7"/>
      <c r="F262" s="8"/>
      <c r="G262" s="4">
        <v>45198</v>
      </c>
    </row>
    <row r="263" spans="1:7" x14ac:dyDescent="0.25">
      <c r="A263" s="1" t="s">
        <v>68</v>
      </c>
      <c r="B263" s="1" t="s">
        <v>31</v>
      </c>
      <c r="C263" s="1" t="s">
        <v>22</v>
      </c>
      <c r="D263" s="1">
        <v>6</v>
      </c>
      <c r="E263" s="7"/>
      <c r="F263" s="8"/>
      <c r="G263" s="4">
        <v>45581</v>
      </c>
    </row>
    <row r="264" spans="1:7" x14ac:dyDescent="0.25">
      <c r="A264" s="1" t="s">
        <v>65</v>
      </c>
      <c r="B264" s="1" t="s">
        <v>33</v>
      </c>
      <c r="C264" s="1" t="s">
        <v>6</v>
      </c>
      <c r="D264" s="1">
        <v>9</v>
      </c>
      <c r="E264" s="7"/>
      <c r="F264" s="8"/>
      <c r="G264" s="4">
        <v>44819</v>
      </c>
    </row>
    <row r="265" spans="1:7" x14ac:dyDescent="0.25">
      <c r="A265" s="1" t="s">
        <v>66</v>
      </c>
      <c r="B265" s="1" t="s">
        <v>35</v>
      </c>
      <c r="C265" s="1" t="s">
        <v>22</v>
      </c>
      <c r="D265" s="1">
        <v>20</v>
      </c>
      <c r="E265" s="7"/>
      <c r="F265" s="8"/>
      <c r="G265" s="4">
        <v>45005</v>
      </c>
    </row>
    <row r="266" spans="1:7" x14ac:dyDescent="0.25">
      <c r="A266" s="1" t="s">
        <v>67</v>
      </c>
      <c r="B266" s="1" t="s">
        <v>31</v>
      </c>
      <c r="C266" s="1" t="s">
        <v>6</v>
      </c>
      <c r="D266" s="1">
        <v>18</v>
      </c>
      <c r="E266" s="7"/>
      <c r="F266" s="8"/>
      <c r="G266" s="4">
        <v>44894</v>
      </c>
    </row>
    <row r="267" spans="1:7" x14ac:dyDescent="0.25">
      <c r="A267" s="1" t="s">
        <v>68</v>
      </c>
      <c r="B267" s="1" t="s">
        <v>33</v>
      </c>
      <c r="C267" s="1" t="s">
        <v>22</v>
      </c>
      <c r="D267" s="1">
        <v>16</v>
      </c>
      <c r="E267" s="7"/>
      <c r="F267" s="8"/>
      <c r="G267" s="4">
        <v>44582</v>
      </c>
    </row>
    <row r="268" spans="1:7" x14ac:dyDescent="0.25">
      <c r="A268" s="1" t="s">
        <v>65</v>
      </c>
      <c r="B268" s="1" t="s">
        <v>35</v>
      </c>
      <c r="C268" s="1" t="s">
        <v>6</v>
      </c>
      <c r="D268" s="1">
        <v>14</v>
      </c>
      <c r="E268" s="7"/>
      <c r="F268" s="8"/>
      <c r="G268" s="4">
        <v>45199</v>
      </c>
    </row>
    <row r="269" spans="1:7" x14ac:dyDescent="0.25">
      <c r="A269" s="1" t="s">
        <v>66</v>
      </c>
      <c r="B269" s="1" t="s">
        <v>31</v>
      </c>
      <c r="C269" s="1" t="s">
        <v>22</v>
      </c>
      <c r="D269" s="1">
        <v>22</v>
      </c>
      <c r="E269" s="7"/>
      <c r="F269" s="8"/>
      <c r="G269" s="4">
        <v>45232</v>
      </c>
    </row>
    <row r="270" spans="1:7" x14ac:dyDescent="0.25">
      <c r="A270" s="1" t="s">
        <v>67</v>
      </c>
      <c r="B270" s="1" t="s">
        <v>33</v>
      </c>
      <c r="C270" s="1" t="s">
        <v>6</v>
      </c>
      <c r="D270" s="1">
        <v>23</v>
      </c>
      <c r="E270" s="7"/>
      <c r="F270" s="8"/>
      <c r="G270" s="4">
        <v>45353</v>
      </c>
    </row>
    <row r="271" spans="1:7" x14ac:dyDescent="0.25">
      <c r="A271" s="1" t="s">
        <v>68</v>
      </c>
      <c r="B271" s="1" t="s">
        <v>35</v>
      </c>
      <c r="C271" s="1" t="s">
        <v>22</v>
      </c>
      <c r="D271" s="1">
        <v>22</v>
      </c>
      <c r="E271" s="7"/>
      <c r="F271" s="8"/>
      <c r="G271" s="4">
        <v>44952</v>
      </c>
    </row>
    <row r="272" spans="1:7" x14ac:dyDescent="0.25">
      <c r="A272" s="1" t="s">
        <v>65</v>
      </c>
      <c r="B272" s="1" t="s">
        <v>31</v>
      </c>
      <c r="C272" s="1" t="s">
        <v>8</v>
      </c>
      <c r="D272" s="1">
        <v>13</v>
      </c>
      <c r="E272" s="7"/>
      <c r="F272" s="8"/>
      <c r="G272" s="4">
        <v>45567</v>
      </c>
    </row>
    <row r="273" spans="1:7" x14ac:dyDescent="0.25">
      <c r="A273" s="1" t="s">
        <v>66</v>
      </c>
      <c r="B273" s="1" t="s">
        <v>33</v>
      </c>
      <c r="C273" s="1" t="s">
        <v>22</v>
      </c>
      <c r="D273" s="1">
        <v>8</v>
      </c>
      <c r="E273" s="7"/>
      <c r="F273" s="8"/>
      <c r="G273" s="4">
        <v>44639</v>
      </c>
    </row>
    <row r="274" spans="1:7" x14ac:dyDescent="0.25">
      <c r="A274" s="1" t="s">
        <v>67</v>
      </c>
      <c r="B274" s="1" t="s">
        <v>35</v>
      </c>
      <c r="C274" s="1" t="s">
        <v>6</v>
      </c>
      <c r="D274" s="1">
        <v>9</v>
      </c>
      <c r="E274" s="7"/>
      <c r="F274" s="8"/>
      <c r="G274" s="4">
        <v>45587</v>
      </c>
    </row>
    <row r="275" spans="1:7" x14ac:dyDescent="0.25">
      <c r="A275" s="1" t="s">
        <v>68</v>
      </c>
      <c r="B275" s="1" t="s">
        <v>31</v>
      </c>
      <c r="C275" s="1" t="s">
        <v>22</v>
      </c>
      <c r="D275" s="1">
        <v>9</v>
      </c>
      <c r="E275" s="7"/>
      <c r="F275" s="8"/>
      <c r="G275" s="4">
        <v>45192</v>
      </c>
    </row>
    <row r="276" spans="1:7" x14ac:dyDescent="0.25">
      <c r="A276" s="1" t="s">
        <v>65</v>
      </c>
      <c r="B276" s="1" t="s">
        <v>31</v>
      </c>
      <c r="C276" s="1" t="s">
        <v>6</v>
      </c>
      <c r="D276" s="1">
        <v>17</v>
      </c>
      <c r="E276" s="7"/>
      <c r="F276" s="8"/>
      <c r="G276" s="4">
        <v>44602</v>
      </c>
    </row>
    <row r="277" spans="1:7" x14ac:dyDescent="0.25">
      <c r="A277" s="1" t="s">
        <v>66</v>
      </c>
      <c r="B277" s="1" t="s">
        <v>33</v>
      </c>
      <c r="C277" s="1" t="s">
        <v>22</v>
      </c>
      <c r="D277" s="1">
        <v>24</v>
      </c>
      <c r="E277" s="7"/>
      <c r="F277" s="8"/>
      <c r="G277" s="4">
        <v>44927</v>
      </c>
    </row>
    <row r="278" spans="1:7" x14ac:dyDescent="0.25">
      <c r="A278" s="1" t="s">
        <v>67</v>
      </c>
      <c r="B278" s="1" t="s">
        <v>35</v>
      </c>
      <c r="C278" s="1" t="s">
        <v>6</v>
      </c>
      <c r="D278" s="1">
        <v>6</v>
      </c>
      <c r="E278" s="7"/>
      <c r="F278" s="8"/>
      <c r="G278" s="4">
        <v>44975</v>
      </c>
    </row>
    <row r="279" spans="1:7" x14ac:dyDescent="0.25">
      <c r="A279" s="1" t="s">
        <v>68</v>
      </c>
      <c r="B279" s="1" t="s">
        <v>31</v>
      </c>
      <c r="C279" s="1" t="s">
        <v>8</v>
      </c>
      <c r="D279" s="1">
        <v>17</v>
      </c>
      <c r="E279" s="7"/>
      <c r="F279" s="8"/>
      <c r="G279" s="4">
        <v>45115</v>
      </c>
    </row>
    <row r="280" spans="1:7" x14ac:dyDescent="0.25">
      <c r="A280" s="1" t="s">
        <v>65</v>
      </c>
      <c r="B280" s="1" t="s">
        <v>33</v>
      </c>
      <c r="C280" s="1" t="s">
        <v>6</v>
      </c>
      <c r="D280" s="1">
        <v>24</v>
      </c>
      <c r="E280" s="7"/>
      <c r="F280" s="8"/>
      <c r="G280" s="4">
        <v>44843</v>
      </c>
    </row>
    <row r="281" spans="1:7" x14ac:dyDescent="0.25">
      <c r="A281" s="1" t="s">
        <v>66</v>
      </c>
      <c r="B281" s="1" t="s">
        <v>35</v>
      </c>
      <c r="C281" s="1" t="s">
        <v>22</v>
      </c>
      <c r="D281" s="1">
        <v>14</v>
      </c>
      <c r="E281" s="7"/>
      <c r="F281" s="8"/>
      <c r="G281" s="4">
        <v>45303</v>
      </c>
    </row>
    <row r="282" spans="1:7" x14ac:dyDescent="0.25">
      <c r="A282" s="1" t="s">
        <v>67</v>
      </c>
      <c r="B282" s="1" t="s">
        <v>31</v>
      </c>
      <c r="C282" s="1" t="s">
        <v>6</v>
      </c>
      <c r="D282" s="1">
        <v>4</v>
      </c>
      <c r="E282" s="7"/>
      <c r="F282" s="8"/>
      <c r="G282" s="4">
        <v>45554</v>
      </c>
    </row>
    <row r="283" spans="1:7" x14ac:dyDescent="0.25">
      <c r="A283" s="1" t="s">
        <v>68</v>
      </c>
      <c r="B283" s="1" t="s">
        <v>33</v>
      </c>
      <c r="C283" s="1" t="s">
        <v>22</v>
      </c>
      <c r="D283" s="1">
        <v>12</v>
      </c>
      <c r="E283" s="7"/>
      <c r="F283" s="8"/>
      <c r="G283" s="4">
        <v>45506</v>
      </c>
    </row>
    <row r="284" spans="1:7" x14ac:dyDescent="0.25">
      <c r="A284" s="1" t="s">
        <v>65</v>
      </c>
      <c r="B284" s="1" t="s">
        <v>35</v>
      </c>
      <c r="C284" s="1" t="s">
        <v>6</v>
      </c>
      <c r="D284" s="1">
        <v>20</v>
      </c>
      <c r="E284" s="7"/>
      <c r="F284" s="8"/>
      <c r="G284" s="4">
        <v>44756</v>
      </c>
    </row>
    <row r="285" spans="1:7" x14ac:dyDescent="0.25">
      <c r="A285" s="1" t="s">
        <v>66</v>
      </c>
      <c r="B285" s="1" t="s">
        <v>31</v>
      </c>
      <c r="C285" s="1" t="s">
        <v>22</v>
      </c>
      <c r="D285" s="1">
        <v>20</v>
      </c>
      <c r="E285" s="7"/>
      <c r="F285" s="8"/>
      <c r="G285" s="4">
        <v>45553</v>
      </c>
    </row>
    <row r="286" spans="1:7" x14ac:dyDescent="0.25">
      <c r="A286" s="1" t="s">
        <v>67</v>
      </c>
      <c r="B286" s="1" t="s">
        <v>33</v>
      </c>
      <c r="C286" s="1" t="s">
        <v>6</v>
      </c>
      <c r="D286" s="1">
        <v>22</v>
      </c>
      <c r="E286" s="7"/>
      <c r="F286" s="8"/>
      <c r="G286" s="4">
        <v>45165</v>
      </c>
    </row>
    <row r="287" spans="1:7" x14ac:dyDescent="0.25">
      <c r="A287" s="1" t="s">
        <v>68</v>
      </c>
      <c r="B287" s="1" t="s">
        <v>35</v>
      </c>
      <c r="C287" s="1" t="s">
        <v>8</v>
      </c>
      <c r="D287" s="1">
        <v>5</v>
      </c>
      <c r="E287" s="7"/>
      <c r="F287" s="8"/>
      <c r="G287" s="4">
        <v>45396</v>
      </c>
    </row>
    <row r="288" spans="1:7" x14ac:dyDescent="0.25">
      <c r="A288" s="1" t="s">
        <v>65</v>
      </c>
      <c r="B288" s="1" t="s">
        <v>31</v>
      </c>
      <c r="C288" s="1" t="s">
        <v>6</v>
      </c>
      <c r="D288" s="1">
        <v>25</v>
      </c>
      <c r="E288" s="7"/>
      <c r="F288" s="8"/>
      <c r="G288" s="4">
        <v>45177</v>
      </c>
    </row>
    <row r="289" spans="1:7" x14ac:dyDescent="0.25">
      <c r="A289" s="1" t="s">
        <v>66</v>
      </c>
      <c r="B289" s="1" t="s">
        <v>33</v>
      </c>
      <c r="C289" s="1" t="s">
        <v>22</v>
      </c>
      <c r="D289" s="1">
        <v>8</v>
      </c>
      <c r="E289" s="7"/>
      <c r="F289" s="8"/>
      <c r="G289" s="4">
        <v>44761</v>
      </c>
    </row>
    <row r="290" spans="1:7" x14ac:dyDescent="0.25">
      <c r="A290" s="1" t="s">
        <v>67</v>
      </c>
      <c r="B290" s="1" t="s">
        <v>35</v>
      </c>
      <c r="C290" s="1" t="s">
        <v>6</v>
      </c>
      <c r="D290" s="1">
        <v>5</v>
      </c>
      <c r="E290" s="7"/>
      <c r="F290" s="8"/>
      <c r="G290" s="4">
        <v>44696</v>
      </c>
    </row>
    <row r="291" spans="1:7" x14ac:dyDescent="0.25">
      <c r="A291" s="1" t="s">
        <v>68</v>
      </c>
      <c r="B291" s="1" t="s">
        <v>31</v>
      </c>
      <c r="C291" s="1" t="s">
        <v>22</v>
      </c>
      <c r="D291" s="1">
        <v>9</v>
      </c>
      <c r="E291" s="7"/>
      <c r="F291" s="8"/>
      <c r="G291" s="4">
        <v>44933</v>
      </c>
    </row>
    <row r="292" spans="1:7" x14ac:dyDescent="0.25">
      <c r="A292" s="1" t="s">
        <v>65</v>
      </c>
      <c r="B292" s="1" t="s">
        <v>33</v>
      </c>
      <c r="C292" s="1" t="s">
        <v>6</v>
      </c>
      <c r="D292" s="1">
        <v>10</v>
      </c>
      <c r="E292" s="7"/>
      <c r="F292" s="8"/>
      <c r="G292" s="4">
        <v>45046</v>
      </c>
    </row>
    <row r="293" spans="1:7" x14ac:dyDescent="0.25">
      <c r="A293" s="1" t="s">
        <v>66</v>
      </c>
      <c r="B293" s="1" t="s">
        <v>35</v>
      </c>
      <c r="C293" s="1" t="s">
        <v>22</v>
      </c>
      <c r="D293" s="1">
        <v>8</v>
      </c>
      <c r="E293" s="7"/>
      <c r="F293" s="8"/>
      <c r="G293" s="4">
        <v>44835</v>
      </c>
    </row>
    <row r="294" spans="1:7" x14ac:dyDescent="0.25">
      <c r="A294" s="1" t="s">
        <v>67</v>
      </c>
      <c r="B294" s="1" t="s">
        <v>31</v>
      </c>
      <c r="C294" s="1" t="s">
        <v>6</v>
      </c>
      <c r="D294" s="1">
        <v>4</v>
      </c>
      <c r="E294" s="7"/>
      <c r="F294" s="8"/>
      <c r="G294" s="4">
        <v>44743</v>
      </c>
    </row>
    <row r="295" spans="1:7" x14ac:dyDescent="0.25">
      <c r="A295" s="1" t="s">
        <v>68</v>
      </c>
      <c r="B295" s="1" t="s">
        <v>33</v>
      </c>
      <c r="C295" s="1" t="s">
        <v>22</v>
      </c>
      <c r="D295" s="1">
        <v>14</v>
      </c>
      <c r="E295" s="7"/>
      <c r="F295" s="8"/>
      <c r="G295" s="4">
        <v>44982</v>
      </c>
    </row>
    <row r="296" spans="1:7" x14ac:dyDescent="0.25">
      <c r="A296" s="1" t="s">
        <v>65</v>
      </c>
      <c r="B296" s="1" t="s">
        <v>35</v>
      </c>
      <c r="C296" s="1" t="s">
        <v>6</v>
      </c>
      <c r="D296" s="1">
        <v>11</v>
      </c>
      <c r="E296" s="7"/>
      <c r="F296" s="8"/>
      <c r="G296" s="4">
        <v>45279</v>
      </c>
    </row>
    <row r="297" spans="1:7" x14ac:dyDescent="0.25">
      <c r="A297" s="1" t="s">
        <v>66</v>
      </c>
      <c r="B297" s="1" t="s">
        <v>31</v>
      </c>
      <c r="C297" s="1" t="s">
        <v>22</v>
      </c>
      <c r="D297" s="1">
        <v>24</v>
      </c>
      <c r="E297" s="7"/>
      <c r="F297" s="8"/>
      <c r="G297" s="4">
        <v>45109</v>
      </c>
    </row>
    <row r="298" spans="1:7" x14ac:dyDescent="0.25">
      <c r="A298" s="1" t="s">
        <v>67</v>
      </c>
      <c r="B298" s="1" t="s">
        <v>33</v>
      </c>
      <c r="C298" s="1" t="s">
        <v>6</v>
      </c>
      <c r="D298" s="1">
        <v>7</v>
      </c>
      <c r="E298" s="7"/>
      <c r="F298" s="8"/>
      <c r="G298" s="4">
        <v>45386</v>
      </c>
    </row>
    <row r="299" spans="1:7" x14ac:dyDescent="0.25">
      <c r="A299" s="1" t="s">
        <v>68</v>
      </c>
      <c r="B299" s="1" t="s">
        <v>35</v>
      </c>
      <c r="C299" s="1" t="s">
        <v>22</v>
      </c>
      <c r="D299" s="1">
        <v>24</v>
      </c>
      <c r="E299" s="7"/>
      <c r="F299" s="8"/>
      <c r="G299" s="4">
        <v>45321</v>
      </c>
    </row>
    <row r="300" spans="1:7" x14ac:dyDescent="0.25">
      <c r="A300" s="1" t="s">
        <v>65</v>
      </c>
      <c r="B300" s="1" t="s">
        <v>31</v>
      </c>
      <c r="C300" s="1" t="s">
        <v>6</v>
      </c>
      <c r="D300" s="1">
        <v>16</v>
      </c>
      <c r="E300" s="7"/>
      <c r="F300" s="8"/>
      <c r="G300" s="4">
        <v>45294</v>
      </c>
    </row>
    <row r="301" spans="1:7" x14ac:dyDescent="0.25">
      <c r="A301" s="1" t="s">
        <v>66</v>
      </c>
      <c r="B301" s="1" t="s">
        <v>33</v>
      </c>
      <c r="C301" s="1" t="s">
        <v>22</v>
      </c>
      <c r="D301" s="1">
        <v>22</v>
      </c>
      <c r="E301" s="7"/>
      <c r="F301" s="8"/>
      <c r="G301" s="4">
        <v>45466</v>
      </c>
    </row>
    <row r="302" spans="1:7" x14ac:dyDescent="0.25">
      <c r="A302" s="1" t="s">
        <v>67</v>
      </c>
      <c r="B302" s="1" t="s">
        <v>35</v>
      </c>
      <c r="C302" s="1" t="s">
        <v>6</v>
      </c>
      <c r="D302" s="1">
        <v>21</v>
      </c>
      <c r="E302" s="7"/>
      <c r="F302" s="8"/>
      <c r="G302" s="4">
        <v>45398</v>
      </c>
    </row>
    <row r="303" spans="1:7" x14ac:dyDescent="0.25">
      <c r="A303" s="1" t="s">
        <v>68</v>
      </c>
      <c r="B303" s="1" t="s">
        <v>31</v>
      </c>
      <c r="C303" s="1" t="s">
        <v>22</v>
      </c>
      <c r="D303" s="1">
        <v>10</v>
      </c>
      <c r="E303" s="7"/>
      <c r="F303" s="8"/>
      <c r="G303" s="4">
        <v>44602</v>
      </c>
    </row>
    <row r="304" spans="1:7" x14ac:dyDescent="0.25">
      <c r="A304" s="1" t="s">
        <v>65</v>
      </c>
      <c r="B304" s="1" t="s">
        <v>33</v>
      </c>
      <c r="C304" s="1" t="s">
        <v>6</v>
      </c>
      <c r="D304" s="1">
        <v>23</v>
      </c>
      <c r="E304" s="7"/>
      <c r="F304" s="8"/>
      <c r="G304" s="4">
        <v>44845</v>
      </c>
    </row>
    <row r="305" spans="1:7" x14ac:dyDescent="0.25">
      <c r="A305" s="1" t="s">
        <v>66</v>
      </c>
      <c r="B305" s="1" t="s">
        <v>35</v>
      </c>
      <c r="C305" s="1" t="s">
        <v>22</v>
      </c>
      <c r="D305" s="1">
        <v>25</v>
      </c>
      <c r="E305" s="7"/>
      <c r="F305" s="8"/>
      <c r="G305" s="4">
        <v>44953</v>
      </c>
    </row>
    <row r="306" spans="1:7" x14ac:dyDescent="0.25">
      <c r="A306" s="1" t="s">
        <v>67</v>
      </c>
      <c r="B306" s="1" t="s">
        <v>31</v>
      </c>
      <c r="C306" s="1" t="s">
        <v>8</v>
      </c>
      <c r="D306" s="1">
        <v>6</v>
      </c>
      <c r="E306" s="7"/>
      <c r="F306" s="8"/>
      <c r="G306" s="4">
        <v>45358</v>
      </c>
    </row>
    <row r="307" spans="1:7" x14ac:dyDescent="0.25">
      <c r="A307" s="1" t="s">
        <v>68</v>
      </c>
      <c r="B307" s="1" t="s">
        <v>33</v>
      </c>
      <c r="C307" s="1" t="s">
        <v>22</v>
      </c>
      <c r="D307" s="1">
        <v>3</v>
      </c>
      <c r="E307" s="7"/>
      <c r="F307" s="8"/>
      <c r="G307" s="4">
        <v>44809</v>
      </c>
    </row>
    <row r="308" spans="1:7" x14ac:dyDescent="0.25">
      <c r="A308" s="1" t="s">
        <v>65</v>
      </c>
      <c r="B308" s="1" t="s">
        <v>35</v>
      </c>
      <c r="C308" s="1" t="s">
        <v>6</v>
      </c>
      <c r="D308" s="1">
        <v>21</v>
      </c>
      <c r="E308" s="7"/>
      <c r="F308" s="8"/>
      <c r="G308" s="4">
        <v>45315</v>
      </c>
    </row>
    <row r="309" spans="1:7" x14ac:dyDescent="0.25">
      <c r="A309" s="1" t="s">
        <v>66</v>
      </c>
      <c r="B309" s="1" t="s">
        <v>31</v>
      </c>
      <c r="C309" s="1" t="s">
        <v>22</v>
      </c>
      <c r="D309" s="1">
        <v>20</v>
      </c>
      <c r="E309" s="7"/>
      <c r="F309" s="8"/>
      <c r="G309" s="4">
        <v>45448</v>
      </c>
    </row>
    <row r="310" spans="1:7" x14ac:dyDescent="0.25">
      <c r="A310" s="1" t="s">
        <v>67</v>
      </c>
      <c r="B310" s="1" t="s">
        <v>31</v>
      </c>
      <c r="C310" s="1" t="s">
        <v>6</v>
      </c>
      <c r="D310" s="1">
        <v>7</v>
      </c>
      <c r="E310" s="7"/>
      <c r="F310" s="8"/>
      <c r="G310" s="4">
        <v>45563</v>
      </c>
    </row>
    <row r="311" spans="1:7" x14ac:dyDescent="0.25">
      <c r="A311" s="1" t="s">
        <v>68</v>
      </c>
      <c r="B311" s="1" t="s">
        <v>33</v>
      </c>
      <c r="C311" s="1" t="s">
        <v>22</v>
      </c>
      <c r="D311" s="1">
        <v>18</v>
      </c>
      <c r="E311" s="7"/>
      <c r="F311" s="8"/>
      <c r="G311" s="4">
        <v>44701</v>
      </c>
    </row>
    <row r="312" spans="1:7" x14ac:dyDescent="0.25">
      <c r="A312" s="1" t="s">
        <v>65</v>
      </c>
      <c r="B312" s="1" t="s">
        <v>35</v>
      </c>
      <c r="C312" s="1" t="s">
        <v>6</v>
      </c>
      <c r="D312" s="1">
        <v>8</v>
      </c>
      <c r="E312" s="7"/>
      <c r="F312" s="8"/>
      <c r="G312" s="4">
        <v>45150</v>
      </c>
    </row>
    <row r="313" spans="1:7" x14ac:dyDescent="0.25">
      <c r="A313" s="1" t="s">
        <v>66</v>
      </c>
      <c r="B313" s="1" t="s">
        <v>31</v>
      </c>
      <c r="C313" s="1" t="s">
        <v>8</v>
      </c>
      <c r="D313" s="1">
        <v>10</v>
      </c>
      <c r="E313" s="7"/>
      <c r="F313" s="8"/>
      <c r="G313" s="4">
        <v>44941</v>
      </c>
    </row>
    <row r="314" spans="1:7" x14ac:dyDescent="0.25">
      <c r="A314" s="1" t="s">
        <v>67</v>
      </c>
      <c r="B314" s="1" t="s">
        <v>33</v>
      </c>
      <c r="C314" s="1" t="s">
        <v>6</v>
      </c>
      <c r="D314" s="1">
        <v>24</v>
      </c>
      <c r="E314" s="7"/>
      <c r="F314" s="8"/>
      <c r="G314" s="4">
        <v>44919</v>
      </c>
    </row>
    <row r="315" spans="1:7" x14ac:dyDescent="0.25">
      <c r="A315" s="1" t="s">
        <v>68</v>
      </c>
      <c r="B315" s="1" t="s">
        <v>35</v>
      </c>
      <c r="C315" s="1" t="s">
        <v>22</v>
      </c>
      <c r="D315" s="1">
        <v>16</v>
      </c>
      <c r="E315" s="7"/>
      <c r="F315" s="8"/>
      <c r="G315" s="4">
        <v>45046</v>
      </c>
    </row>
    <row r="316" spans="1:7" x14ac:dyDescent="0.25">
      <c r="A316" s="1" t="s">
        <v>65</v>
      </c>
      <c r="B316" s="1" t="s">
        <v>31</v>
      </c>
      <c r="C316" s="1" t="s">
        <v>6</v>
      </c>
      <c r="D316" s="1">
        <v>9</v>
      </c>
      <c r="E316" s="7"/>
      <c r="F316" s="8"/>
      <c r="G316" s="4">
        <v>44822</v>
      </c>
    </row>
    <row r="317" spans="1:7" x14ac:dyDescent="0.25">
      <c r="A317" s="1" t="s">
        <v>66</v>
      </c>
      <c r="B317" s="1" t="s">
        <v>33</v>
      </c>
      <c r="C317" s="1" t="s">
        <v>22</v>
      </c>
      <c r="D317" s="1">
        <v>9</v>
      </c>
      <c r="E317" s="7"/>
      <c r="F317" s="8"/>
      <c r="G317" s="4">
        <v>45486</v>
      </c>
    </row>
    <row r="318" spans="1:7" x14ac:dyDescent="0.25">
      <c r="A318" s="1" t="s">
        <v>67</v>
      </c>
      <c r="B318" s="1" t="s">
        <v>35</v>
      </c>
      <c r="C318" s="1" t="s">
        <v>6</v>
      </c>
      <c r="D318" s="1">
        <v>17</v>
      </c>
      <c r="E318" s="7"/>
      <c r="F318" s="8"/>
      <c r="G318" s="4">
        <v>44724</v>
      </c>
    </row>
    <row r="319" spans="1:7" x14ac:dyDescent="0.25">
      <c r="A319" s="1" t="s">
        <v>68</v>
      </c>
      <c r="B319" s="1" t="s">
        <v>31</v>
      </c>
      <c r="C319" s="1" t="s">
        <v>22</v>
      </c>
      <c r="D319" s="1">
        <v>8</v>
      </c>
      <c r="E319" s="7"/>
      <c r="F319" s="8"/>
      <c r="G319" s="4">
        <v>45139</v>
      </c>
    </row>
    <row r="320" spans="1:7" x14ac:dyDescent="0.25">
      <c r="A320" s="1" t="s">
        <v>65</v>
      </c>
      <c r="B320" s="1" t="s">
        <v>33</v>
      </c>
      <c r="C320" s="1" t="s">
        <v>6</v>
      </c>
      <c r="D320" s="1">
        <v>7</v>
      </c>
      <c r="E320" s="7"/>
      <c r="F320" s="8"/>
      <c r="G320" s="4">
        <v>45539</v>
      </c>
    </row>
    <row r="321" spans="1:7" x14ac:dyDescent="0.25">
      <c r="A321" s="1" t="s">
        <v>66</v>
      </c>
      <c r="B321" s="1" t="s">
        <v>35</v>
      </c>
      <c r="C321" s="1" t="s">
        <v>8</v>
      </c>
      <c r="D321" s="1">
        <v>9</v>
      </c>
      <c r="E321" s="7"/>
      <c r="F321" s="8"/>
      <c r="G321" s="4">
        <v>45571</v>
      </c>
    </row>
    <row r="322" spans="1:7" x14ac:dyDescent="0.25">
      <c r="A322" s="1" t="s">
        <v>67</v>
      </c>
      <c r="B322" s="1" t="s">
        <v>31</v>
      </c>
      <c r="C322" s="1" t="s">
        <v>6</v>
      </c>
      <c r="D322" s="1">
        <v>22</v>
      </c>
      <c r="E322" s="7"/>
      <c r="F322" s="8"/>
      <c r="G322" s="4">
        <v>45500</v>
      </c>
    </row>
    <row r="323" spans="1:7" x14ac:dyDescent="0.25">
      <c r="A323" s="1" t="s">
        <v>68</v>
      </c>
      <c r="B323" s="1" t="s">
        <v>33</v>
      </c>
      <c r="C323" s="1" t="s">
        <v>22</v>
      </c>
      <c r="D323" s="1">
        <v>6</v>
      </c>
      <c r="E323" s="7"/>
      <c r="F323" s="8"/>
      <c r="G323" s="4">
        <v>45219</v>
      </c>
    </row>
    <row r="324" spans="1:7" x14ac:dyDescent="0.25">
      <c r="A324" s="1" t="s">
        <v>65</v>
      </c>
      <c r="B324" s="1" t="s">
        <v>35</v>
      </c>
      <c r="C324" s="1" t="s">
        <v>6</v>
      </c>
      <c r="D324" s="1">
        <v>11</v>
      </c>
      <c r="E324" s="7"/>
      <c r="F324" s="8"/>
      <c r="G324" s="4">
        <v>45453</v>
      </c>
    </row>
    <row r="325" spans="1:7" x14ac:dyDescent="0.25">
      <c r="A325" s="1" t="s">
        <v>66</v>
      </c>
      <c r="B325" s="1" t="s">
        <v>31</v>
      </c>
      <c r="C325" s="1" t="s">
        <v>22</v>
      </c>
      <c r="D325" s="1">
        <v>15</v>
      </c>
      <c r="E325" s="7"/>
      <c r="F325" s="8"/>
      <c r="G325" s="4">
        <v>44773</v>
      </c>
    </row>
    <row r="326" spans="1:7" x14ac:dyDescent="0.25">
      <c r="A326" s="1" t="s">
        <v>67</v>
      </c>
      <c r="B326" s="1" t="s">
        <v>33</v>
      </c>
      <c r="C326" s="1" t="s">
        <v>6</v>
      </c>
      <c r="D326" s="1">
        <v>8</v>
      </c>
      <c r="E326" s="7"/>
      <c r="F326" s="8"/>
      <c r="G326" s="4">
        <v>44952</v>
      </c>
    </row>
    <row r="327" spans="1:7" x14ac:dyDescent="0.25">
      <c r="A327" s="1" t="s">
        <v>68</v>
      </c>
      <c r="B327" s="1" t="s">
        <v>35</v>
      </c>
      <c r="C327" s="1" t="s">
        <v>22</v>
      </c>
      <c r="D327" s="1">
        <v>9</v>
      </c>
      <c r="E327" s="7"/>
      <c r="F327" s="8"/>
      <c r="G327" s="4">
        <v>44637</v>
      </c>
    </row>
    <row r="328" spans="1:7" x14ac:dyDescent="0.25">
      <c r="A328" s="1" t="s">
        <v>65</v>
      </c>
      <c r="B328" s="1" t="s">
        <v>31</v>
      </c>
      <c r="C328" s="1" t="s">
        <v>6</v>
      </c>
      <c r="D328" s="1">
        <v>15</v>
      </c>
      <c r="E328" s="7"/>
      <c r="F328" s="8"/>
      <c r="G328" s="4">
        <v>45239</v>
      </c>
    </row>
    <row r="329" spans="1:7" x14ac:dyDescent="0.25">
      <c r="A329" s="1" t="s">
        <v>66</v>
      </c>
      <c r="B329" s="1" t="s">
        <v>33</v>
      </c>
      <c r="C329" s="1" t="s">
        <v>22</v>
      </c>
      <c r="D329" s="1">
        <v>18</v>
      </c>
      <c r="E329" s="7"/>
      <c r="F329" s="8"/>
      <c r="G329" s="4">
        <v>45060</v>
      </c>
    </row>
    <row r="330" spans="1:7" x14ac:dyDescent="0.25">
      <c r="A330" s="1" t="s">
        <v>67</v>
      </c>
      <c r="B330" s="1" t="s">
        <v>35</v>
      </c>
      <c r="C330" s="1" t="s">
        <v>6</v>
      </c>
      <c r="D330" s="1">
        <v>4</v>
      </c>
      <c r="E330" s="7"/>
      <c r="F330" s="8"/>
      <c r="G330" s="4">
        <v>45112</v>
      </c>
    </row>
    <row r="331" spans="1:7" x14ac:dyDescent="0.25">
      <c r="A331" s="1" t="s">
        <v>68</v>
      </c>
      <c r="B331" s="1" t="s">
        <v>31</v>
      </c>
      <c r="C331" s="1" t="s">
        <v>22</v>
      </c>
      <c r="D331" s="1">
        <v>9</v>
      </c>
      <c r="E331" s="7"/>
      <c r="F331" s="8"/>
      <c r="G331" s="4">
        <v>45379</v>
      </c>
    </row>
    <row r="332" spans="1:7" x14ac:dyDescent="0.25">
      <c r="A332" s="1" t="s">
        <v>65</v>
      </c>
      <c r="B332" s="1" t="s">
        <v>33</v>
      </c>
      <c r="C332" s="1" t="s">
        <v>6</v>
      </c>
      <c r="D332" s="1">
        <v>11</v>
      </c>
      <c r="E332" s="7"/>
      <c r="F332" s="8"/>
      <c r="G332" s="4">
        <v>45500</v>
      </c>
    </row>
    <row r="333" spans="1:7" x14ac:dyDescent="0.25">
      <c r="A333" s="1" t="s">
        <v>66</v>
      </c>
      <c r="B333" s="1" t="s">
        <v>35</v>
      </c>
      <c r="C333" s="1" t="s">
        <v>22</v>
      </c>
      <c r="D333" s="1">
        <v>5</v>
      </c>
      <c r="E333" s="7"/>
      <c r="F333" s="8"/>
      <c r="G333" s="4">
        <v>45095</v>
      </c>
    </row>
    <row r="334" spans="1:7" x14ac:dyDescent="0.25">
      <c r="A334" s="1" t="s">
        <v>67</v>
      </c>
      <c r="B334" s="1" t="s">
        <v>31</v>
      </c>
      <c r="C334" s="1" t="s">
        <v>6</v>
      </c>
      <c r="D334" s="1">
        <v>10</v>
      </c>
      <c r="E334" s="7"/>
      <c r="F334" s="8"/>
      <c r="G334" s="4">
        <v>45159</v>
      </c>
    </row>
    <row r="335" spans="1:7" x14ac:dyDescent="0.25">
      <c r="A335" s="1" t="s">
        <v>68</v>
      </c>
      <c r="B335" s="1" t="s">
        <v>33</v>
      </c>
      <c r="C335" s="1" t="s">
        <v>22</v>
      </c>
      <c r="D335" s="1">
        <v>11</v>
      </c>
      <c r="E335" s="7"/>
      <c r="F335" s="8"/>
      <c r="G335" s="4">
        <v>45096</v>
      </c>
    </row>
    <row r="336" spans="1:7" x14ac:dyDescent="0.25">
      <c r="A336" s="1" t="s">
        <v>65</v>
      </c>
      <c r="B336" s="1" t="s">
        <v>35</v>
      </c>
      <c r="C336" s="1" t="s">
        <v>6</v>
      </c>
      <c r="D336" s="1">
        <v>3</v>
      </c>
      <c r="E336" s="7"/>
      <c r="F336" s="8"/>
      <c r="G336" s="4">
        <v>45401</v>
      </c>
    </row>
    <row r="337" spans="1:7" x14ac:dyDescent="0.25">
      <c r="A337" s="1" t="s">
        <v>66</v>
      </c>
      <c r="B337" s="1" t="s">
        <v>31</v>
      </c>
      <c r="C337" s="1" t="s">
        <v>22</v>
      </c>
      <c r="D337" s="1">
        <v>22</v>
      </c>
      <c r="E337" s="7"/>
      <c r="F337" s="8"/>
      <c r="G337" s="4">
        <v>45283</v>
      </c>
    </row>
    <row r="338" spans="1:7" x14ac:dyDescent="0.25">
      <c r="A338" s="1" t="s">
        <v>67</v>
      </c>
      <c r="B338" s="1" t="s">
        <v>33</v>
      </c>
      <c r="C338" s="1" t="s">
        <v>6</v>
      </c>
      <c r="D338" s="1">
        <v>3</v>
      </c>
      <c r="E338" s="7"/>
      <c r="F338" s="8"/>
      <c r="G338" s="4">
        <v>44683</v>
      </c>
    </row>
    <row r="339" spans="1:7" x14ac:dyDescent="0.25">
      <c r="A339" s="1" t="s">
        <v>68</v>
      </c>
      <c r="B339" s="1" t="s">
        <v>35</v>
      </c>
      <c r="C339" s="1" t="s">
        <v>22</v>
      </c>
      <c r="D339" s="1">
        <v>16</v>
      </c>
      <c r="E339" s="7"/>
      <c r="F339" s="8"/>
      <c r="G339" s="4">
        <v>45344</v>
      </c>
    </row>
    <row r="340" spans="1:7" x14ac:dyDescent="0.25">
      <c r="A340" s="1" t="s">
        <v>65</v>
      </c>
      <c r="B340" s="1" t="s">
        <v>31</v>
      </c>
      <c r="C340" s="1" t="s">
        <v>8</v>
      </c>
      <c r="D340" s="1">
        <v>22</v>
      </c>
      <c r="E340" s="7"/>
      <c r="F340" s="8"/>
      <c r="G340" s="4">
        <v>45103</v>
      </c>
    </row>
    <row r="341" spans="1:7" x14ac:dyDescent="0.25">
      <c r="A341" s="1" t="s">
        <v>66</v>
      </c>
      <c r="B341" s="1" t="s">
        <v>33</v>
      </c>
      <c r="C341" s="1" t="s">
        <v>22</v>
      </c>
      <c r="D341" s="1">
        <v>17</v>
      </c>
      <c r="E341" s="7"/>
      <c r="F341" s="8"/>
      <c r="G341" s="4">
        <v>45287</v>
      </c>
    </row>
    <row r="342" spans="1:7" x14ac:dyDescent="0.25">
      <c r="A342" s="1" t="s">
        <v>67</v>
      </c>
      <c r="B342" s="1" t="s">
        <v>35</v>
      </c>
      <c r="C342" s="1" t="s">
        <v>6</v>
      </c>
      <c r="D342" s="1">
        <v>16</v>
      </c>
      <c r="E342" s="7"/>
      <c r="F342" s="8"/>
      <c r="G342" s="4">
        <v>45389</v>
      </c>
    </row>
    <row r="343" spans="1:7" x14ac:dyDescent="0.25">
      <c r="A343" s="1" t="s">
        <v>68</v>
      </c>
      <c r="B343" s="1" t="s">
        <v>31</v>
      </c>
      <c r="C343" s="1" t="s">
        <v>22</v>
      </c>
      <c r="D343" s="1">
        <v>22</v>
      </c>
      <c r="E343" s="7"/>
      <c r="F343" s="8"/>
      <c r="G343" s="4">
        <v>45222</v>
      </c>
    </row>
    <row r="344" spans="1:7" x14ac:dyDescent="0.25">
      <c r="A344" s="1" t="s">
        <v>65</v>
      </c>
      <c r="B344" s="1" t="s">
        <v>31</v>
      </c>
      <c r="C344" s="1" t="s">
        <v>6</v>
      </c>
      <c r="D344" s="1">
        <v>3</v>
      </c>
      <c r="E344" s="7"/>
      <c r="F344" s="8"/>
      <c r="G344" s="4">
        <v>45156</v>
      </c>
    </row>
    <row r="345" spans="1:7" x14ac:dyDescent="0.25">
      <c r="A345" s="1" t="s">
        <v>66</v>
      </c>
      <c r="B345" s="1" t="s">
        <v>33</v>
      </c>
      <c r="C345" s="1" t="s">
        <v>22</v>
      </c>
      <c r="D345" s="1">
        <v>21</v>
      </c>
      <c r="E345" s="7"/>
      <c r="F345" s="8"/>
      <c r="G345" s="4">
        <v>44881</v>
      </c>
    </row>
    <row r="346" spans="1:7" x14ac:dyDescent="0.25">
      <c r="A346" s="1" t="s">
        <v>67</v>
      </c>
      <c r="B346" s="1" t="s">
        <v>35</v>
      </c>
      <c r="C346" s="1" t="s">
        <v>6</v>
      </c>
      <c r="D346" s="1">
        <v>20</v>
      </c>
      <c r="E346" s="7"/>
      <c r="F346" s="8"/>
      <c r="G346" s="4">
        <v>44602</v>
      </c>
    </row>
    <row r="347" spans="1:7" x14ac:dyDescent="0.25">
      <c r="A347" s="1" t="s">
        <v>68</v>
      </c>
      <c r="B347" s="1" t="s">
        <v>31</v>
      </c>
      <c r="C347" s="1" t="s">
        <v>8</v>
      </c>
      <c r="D347" s="1">
        <v>5</v>
      </c>
      <c r="E347" s="7"/>
      <c r="F347" s="8"/>
      <c r="G347" s="4">
        <v>45532</v>
      </c>
    </row>
    <row r="348" spans="1:7" x14ac:dyDescent="0.25">
      <c r="A348" s="1" t="s">
        <v>65</v>
      </c>
      <c r="B348" s="1" t="s">
        <v>33</v>
      </c>
      <c r="C348" s="1" t="s">
        <v>6</v>
      </c>
      <c r="D348" s="1">
        <v>25</v>
      </c>
      <c r="E348" s="7"/>
      <c r="F348" s="8"/>
      <c r="G348" s="4">
        <v>44966</v>
      </c>
    </row>
    <row r="349" spans="1:7" x14ac:dyDescent="0.25">
      <c r="A349" s="1" t="s">
        <v>66</v>
      </c>
      <c r="B349" s="1" t="s">
        <v>35</v>
      </c>
      <c r="C349" s="1" t="s">
        <v>22</v>
      </c>
      <c r="D349" s="1">
        <v>16</v>
      </c>
      <c r="E349" s="7"/>
      <c r="F349" s="8"/>
      <c r="G349" s="4">
        <v>45234</v>
      </c>
    </row>
    <row r="350" spans="1:7" x14ac:dyDescent="0.25">
      <c r="A350" s="1" t="s">
        <v>67</v>
      </c>
      <c r="B350" s="1" t="s">
        <v>31</v>
      </c>
      <c r="C350" s="1" t="s">
        <v>6</v>
      </c>
      <c r="D350" s="1">
        <v>7</v>
      </c>
      <c r="E350" s="7"/>
      <c r="F350" s="8"/>
      <c r="G350" s="4">
        <v>44891</v>
      </c>
    </row>
    <row r="351" spans="1:7" x14ac:dyDescent="0.25">
      <c r="A351" s="1" t="s">
        <v>68</v>
      </c>
      <c r="B351" s="1" t="s">
        <v>33</v>
      </c>
      <c r="C351" s="1" t="s">
        <v>22</v>
      </c>
      <c r="D351" s="1">
        <v>13</v>
      </c>
      <c r="E351" s="7"/>
      <c r="F351" s="8"/>
      <c r="G351" s="4">
        <v>45472</v>
      </c>
    </row>
    <row r="352" spans="1:7" x14ac:dyDescent="0.25">
      <c r="A352" s="1" t="s">
        <v>65</v>
      </c>
      <c r="B352" s="1" t="s">
        <v>35</v>
      </c>
      <c r="C352" s="1" t="s">
        <v>6</v>
      </c>
      <c r="D352" s="1">
        <v>14</v>
      </c>
      <c r="E352" s="7"/>
      <c r="F352" s="8"/>
      <c r="G352" s="4">
        <v>44572</v>
      </c>
    </row>
    <row r="353" spans="1:7" x14ac:dyDescent="0.25">
      <c r="A353" s="1" t="s">
        <v>66</v>
      </c>
      <c r="B353" s="1" t="s">
        <v>31</v>
      </c>
      <c r="C353" s="1" t="s">
        <v>22</v>
      </c>
      <c r="D353" s="1">
        <v>7</v>
      </c>
      <c r="E353" s="7"/>
      <c r="F353" s="8"/>
      <c r="G353" s="4">
        <v>44939</v>
      </c>
    </row>
    <row r="354" spans="1:7" x14ac:dyDescent="0.25">
      <c r="A354" s="1" t="s">
        <v>67</v>
      </c>
      <c r="B354" s="1" t="s">
        <v>33</v>
      </c>
      <c r="C354" s="1" t="s">
        <v>6</v>
      </c>
      <c r="D354" s="1">
        <v>24</v>
      </c>
      <c r="E354" s="7"/>
      <c r="F354" s="8"/>
      <c r="G354" s="4">
        <v>45445</v>
      </c>
    </row>
    <row r="355" spans="1:7" x14ac:dyDescent="0.25">
      <c r="A355" s="1" t="s">
        <v>68</v>
      </c>
      <c r="B355" s="1" t="s">
        <v>35</v>
      </c>
      <c r="C355" s="1" t="s">
        <v>8</v>
      </c>
      <c r="D355" s="1">
        <v>17</v>
      </c>
      <c r="E355" s="7"/>
      <c r="F355" s="8"/>
      <c r="G355" s="4">
        <v>44957</v>
      </c>
    </row>
    <row r="356" spans="1:7" x14ac:dyDescent="0.25">
      <c r="A356" s="1" t="s">
        <v>65</v>
      </c>
      <c r="B356" s="1" t="s">
        <v>31</v>
      </c>
      <c r="C356" s="1" t="s">
        <v>6</v>
      </c>
      <c r="D356" s="1">
        <v>19</v>
      </c>
      <c r="E356" s="7"/>
      <c r="F356" s="8"/>
      <c r="G356" s="4">
        <v>45419</v>
      </c>
    </row>
    <row r="357" spans="1:7" x14ac:dyDescent="0.25">
      <c r="A357" s="1" t="s">
        <v>66</v>
      </c>
      <c r="B357" s="1" t="s">
        <v>33</v>
      </c>
      <c r="C357" s="1" t="s">
        <v>22</v>
      </c>
      <c r="D357" s="1">
        <v>22</v>
      </c>
      <c r="E357" s="7"/>
      <c r="F357" s="8"/>
      <c r="G357" s="4">
        <v>45300</v>
      </c>
    </row>
    <row r="358" spans="1:7" x14ac:dyDescent="0.25">
      <c r="A358" s="1" t="s">
        <v>67</v>
      </c>
      <c r="B358" s="1" t="s">
        <v>35</v>
      </c>
      <c r="C358" s="1" t="s">
        <v>6</v>
      </c>
      <c r="D358" s="1">
        <v>4</v>
      </c>
      <c r="E358" s="7"/>
      <c r="F358" s="8"/>
      <c r="G358" s="4">
        <v>45546</v>
      </c>
    </row>
    <row r="359" spans="1:7" x14ac:dyDescent="0.25">
      <c r="A359" s="1" t="s">
        <v>68</v>
      </c>
      <c r="B359" s="1" t="s">
        <v>31</v>
      </c>
      <c r="C359" s="1" t="s">
        <v>22</v>
      </c>
      <c r="D359" s="1">
        <v>11</v>
      </c>
      <c r="E359" s="7"/>
      <c r="F359" s="8"/>
      <c r="G359" s="4">
        <v>44786</v>
      </c>
    </row>
    <row r="360" spans="1:7" x14ac:dyDescent="0.25">
      <c r="A360" s="1" t="s">
        <v>65</v>
      </c>
      <c r="B360" s="1" t="s">
        <v>33</v>
      </c>
      <c r="C360" s="1" t="s">
        <v>6</v>
      </c>
      <c r="D360" s="1">
        <v>16</v>
      </c>
      <c r="E360" s="7"/>
      <c r="F360" s="8"/>
      <c r="G360" s="4">
        <v>45501</v>
      </c>
    </row>
    <row r="361" spans="1:7" x14ac:dyDescent="0.25">
      <c r="A361" s="1" t="s">
        <v>66</v>
      </c>
      <c r="B361" s="1" t="s">
        <v>35</v>
      </c>
      <c r="C361" s="1" t="s">
        <v>22</v>
      </c>
      <c r="D361" s="1">
        <v>5</v>
      </c>
      <c r="E361" s="7"/>
      <c r="F361" s="8"/>
      <c r="G361" s="4">
        <v>45022</v>
      </c>
    </row>
    <row r="362" spans="1:7" x14ac:dyDescent="0.25">
      <c r="A362" s="1" t="s">
        <v>67</v>
      </c>
      <c r="B362" s="1" t="s">
        <v>31</v>
      </c>
      <c r="C362" s="1" t="s">
        <v>6</v>
      </c>
      <c r="D362" s="1">
        <v>21</v>
      </c>
      <c r="E362" s="7"/>
      <c r="F362" s="8"/>
      <c r="G362" s="4">
        <v>44825</v>
      </c>
    </row>
    <row r="363" spans="1:7" x14ac:dyDescent="0.25">
      <c r="A363" s="1" t="s">
        <v>68</v>
      </c>
      <c r="B363" s="1" t="s">
        <v>33</v>
      </c>
      <c r="C363" s="1" t="s">
        <v>22</v>
      </c>
      <c r="D363" s="1">
        <v>8</v>
      </c>
      <c r="E363" s="7"/>
      <c r="F363" s="8"/>
      <c r="G363" s="4">
        <v>44721</v>
      </c>
    </row>
    <row r="364" spans="1:7" x14ac:dyDescent="0.25">
      <c r="A364" s="1" t="s">
        <v>65</v>
      </c>
      <c r="B364" s="1" t="s">
        <v>35</v>
      </c>
      <c r="C364" s="1" t="s">
        <v>6</v>
      </c>
      <c r="D364" s="1">
        <v>9</v>
      </c>
      <c r="E364" s="7"/>
      <c r="F364" s="8"/>
      <c r="G364" s="4">
        <v>45345</v>
      </c>
    </row>
    <row r="365" spans="1:7" x14ac:dyDescent="0.25">
      <c r="A365" s="1" t="s">
        <v>66</v>
      </c>
      <c r="B365" s="1" t="s">
        <v>31</v>
      </c>
      <c r="C365" s="1" t="s">
        <v>22</v>
      </c>
      <c r="D365" s="1">
        <v>16</v>
      </c>
      <c r="E365" s="7"/>
      <c r="F365" s="8"/>
      <c r="G365" s="4">
        <v>44570</v>
      </c>
    </row>
    <row r="366" spans="1:7" x14ac:dyDescent="0.25">
      <c r="A366" s="1" t="s">
        <v>67</v>
      </c>
      <c r="B366" s="1" t="s">
        <v>33</v>
      </c>
      <c r="C366" s="1" t="s">
        <v>6</v>
      </c>
      <c r="D366" s="1">
        <v>18</v>
      </c>
      <c r="E366" s="7"/>
      <c r="F366" s="8"/>
      <c r="G366" s="4">
        <v>45510</v>
      </c>
    </row>
    <row r="367" spans="1:7" x14ac:dyDescent="0.25">
      <c r="A367" s="1" t="s">
        <v>68</v>
      </c>
      <c r="B367" s="1" t="s">
        <v>35</v>
      </c>
      <c r="C367" s="1" t="s">
        <v>22</v>
      </c>
      <c r="D367" s="1">
        <v>14</v>
      </c>
      <c r="E367" s="7"/>
      <c r="F367" s="8"/>
      <c r="G367" s="4">
        <v>45125</v>
      </c>
    </row>
    <row r="368" spans="1:7" x14ac:dyDescent="0.25">
      <c r="A368" s="1" t="s">
        <v>65</v>
      </c>
      <c r="B368" s="1" t="s">
        <v>31</v>
      </c>
      <c r="C368" s="1" t="s">
        <v>6</v>
      </c>
      <c r="D368" s="1">
        <v>16</v>
      </c>
      <c r="E368" s="7"/>
      <c r="F368" s="8"/>
      <c r="G368" s="4">
        <v>45518</v>
      </c>
    </row>
    <row r="369" spans="1:7" x14ac:dyDescent="0.25">
      <c r="A369" s="1" t="s">
        <v>66</v>
      </c>
      <c r="B369" s="1" t="s">
        <v>33</v>
      </c>
      <c r="C369" s="1" t="s">
        <v>22</v>
      </c>
      <c r="D369" s="1">
        <v>15</v>
      </c>
      <c r="E369" s="7"/>
      <c r="F369" s="8"/>
      <c r="G369" s="4">
        <v>45360</v>
      </c>
    </row>
    <row r="370" spans="1:7" x14ac:dyDescent="0.25">
      <c r="A370" s="1" t="s">
        <v>67</v>
      </c>
      <c r="B370" s="1" t="s">
        <v>35</v>
      </c>
      <c r="C370" s="1" t="s">
        <v>6</v>
      </c>
      <c r="D370" s="1">
        <v>7</v>
      </c>
      <c r="E370" s="7"/>
      <c r="F370" s="8"/>
      <c r="G370" s="4">
        <v>44921</v>
      </c>
    </row>
    <row r="371" spans="1:7" x14ac:dyDescent="0.25">
      <c r="A371" s="1" t="s">
        <v>68</v>
      </c>
      <c r="B371" s="1" t="s">
        <v>31</v>
      </c>
      <c r="C371" s="1" t="s">
        <v>22</v>
      </c>
      <c r="D371" s="1">
        <v>11</v>
      </c>
      <c r="E371" s="7"/>
      <c r="F371" s="8"/>
      <c r="G371" s="4">
        <v>45052</v>
      </c>
    </row>
    <row r="372" spans="1:7" x14ac:dyDescent="0.25">
      <c r="A372" s="1" t="s">
        <v>65</v>
      </c>
      <c r="B372" s="1" t="s">
        <v>33</v>
      </c>
      <c r="C372" s="1" t="s">
        <v>6</v>
      </c>
      <c r="D372" s="1">
        <v>15</v>
      </c>
      <c r="E372" s="7"/>
      <c r="F372" s="8"/>
      <c r="G372" s="4">
        <v>45382</v>
      </c>
    </row>
    <row r="373" spans="1:7" x14ac:dyDescent="0.25">
      <c r="A373" s="1" t="s">
        <v>66</v>
      </c>
      <c r="B373" s="1" t="s">
        <v>35</v>
      </c>
      <c r="C373" s="1" t="s">
        <v>22</v>
      </c>
      <c r="D373" s="1">
        <v>11</v>
      </c>
      <c r="E373" s="7"/>
      <c r="F373" s="8"/>
      <c r="G373" s="4">
        <v>45137</v>
      </c>
    </row>
    <row r="374" spans="1:7" x14ac:dyDescent="0.25">
      <c r="A374" s="1" t="s">
        <v>67</v>
      </c>
      <c r="B374" s="1" t="s">
        <v>31</v>
      </c>
      <c r="C374" s="1" t="s">
        <v>8</v>
      </c>
      <c r="D374" s="1">
        <v>21</v>
      </c>
      <c r="E374" s="7"/>
      <c r="F374" s="8"/>
      <c r="G374" s="4">
        <v>44694</v>
      </c>
    </row>
    <row r="375" spans="1:7" x14ac:dyDescent="0.25">
      <c r="A375" s="1" t="s">
        <v>68</v>
      </c>
      <c r="B375" s="1" t="s">
        <v>33</v>
      </c>
      <c r="C375" s="1" t="s">
        <v>22</v>
      </c>
      <c r="D375" s="1">
        <v>7</v>
      </c>
      <c r="E375" s="7"/>
      <c r="F375" s="8"/>
      <c r="G375" s="4">
        <v>44651</v>
      </c>
    </row>
    <row r="376" spans="1:7" x14ac:dyDescent="0.25">
      <c r="A376" s="1" t="s">
        <v>65</v>
      </c>
      <c r="B376" s="1" t="s">
        <v>35</v>
      </c>
      <c r="C376" s="1" t="s">
        <v>6</v>
      </c>
      <c r="D376" s="1">
        <v>11</v>
      </c>
      <c r="E376" s="7"/>
      <c r="F376" s="8"/>
      <c r="G376" s="4">
        <v>44601</v>
      </c>
    </row>
    <row r="377" spans="1:7" x14ac:dyDescent="0.25">
      <c r="A377" s="1" t="s">
        <v>66</v>
      </c>
      <c r="B377" s="1" t="s">
        <v>31</v>
      </c>
      <c r="C377" s="1" t="s">
        <v>22</v>
      </c>
      <c r="D377" s="1">
        <v>4</v>
      </c>
      <c r="E377" s="7"/>
      <c r="F377" s="8"/>
      <c r="G377" s="4">
        <v>44602</v>
      </c>
    </row>
    <row r="378" spans="1:7" x14ac:dyDescent="0.25">
      <c r="A378" s="1" t="s">
        <v>67</v>
      </c>
      <c r="B378" s="1" t="s">
        <v>31</v>
      </c>
      <c r="C378" s="1" t="s">
        <v>6</v>
      </c>
      <c r="D378" s="1">
        <v>13</v>
      </c>
      <c r="E378" s="7"/>
      <c r="F378" s="8"/>
      <c r="G378" s="4">
        <v>45168</v>
      </c>
    </row>
    <row r="379" spans="1:7" x14ac:dyDescent="0.25">
      <c r="A379" s="1" t="s">
        <v>68</v>
      </c>
      <c r="B379" s="1" t="s">
        <v>33</v>
      </c>
      <c r="C379" s="1" t="s">
        <v>22</v>
      </c>
      <c r="D379" s="1">
        <v>15</v>
      </c>
      <c r="E379" s="7"/>
      <c r="F379" s="8"/>
      <c r="G379" s="4">
        <v>44664</v>
      </c>
    </row>
    <row r="380" spans="1:7" x14ac:dyDescent="0.25">
      <c r="A380" s="1" t="s">
        <v>65</v>
      </c>
      <c r="B380" s="1" t="s">
        <v>35</v>
      </c>
      <c r="C380" s="1" t="s">
        <v>6</v>
      </c>
      <c r="D380" s="1">
        <v>18</v>
      </c>
      <c r="E380" s="7"/>
      <c r="F380" s="8"/>
      <c r="G380" s="4">
        <v>44995</v>
      </c>
    </row>
    <row r="381" spans="1:7" x14ac:dyDescent="0.25">
      <c r="A381" s="1" t="s">
        <v>66</v>
      </c>
      <c r="B381" s="1" t="s">
        <v>31</v>
      </c>
      <c r="C381" s="1" t="s">
        <v>8</v>
      </c>
      <c r="D381" s="1">
        <v>24</v>
      </c>
      <c r="E381" s="7"/>
      <c r="F381" s="8"/>
      <c r="G381" s="4">
        <v>44727</v>
      </c>
    </row>
    <row r="382" spans="1:7" x14ac:dyDescent="0.25">
      <c r="A382" s="1" t="s">
        <v>67</v>
      </c>
      <c r="B382" s="1" t="s">
        <v>33</v>
      </c>
      <c r="C382" s="1" t="s">
        <v>6</v>
      </c>
      <c r="D382" s="1">
        <v>4</v>
      </c>
      <c r="E382" s="7"/>
      <c r="F382" s="8"/>
      <c r="G382" s="4">
        <v>45017</v>
      </c>
    </row>
    <row r="383" spans="1:7" x14ac:dyDescent="0.25">
      <c r="A383" s="1" t="s">
        <v>68</v>
      </c>
      <c r="B383" s="1" t="s">
        <v>35</v>
      </c>
      <c r="C383" s="1" t="s">
        <v>22</v>
      </c>
      <c r="D383" s="1">
        <v>21</v>
      </c>
      <c r="E383" s="7"/>
      <c r="F383" s="8"/>
      <c r="G383" s="4">
        <v>44766</v>
      </c>
    </row>
    <row r="384" spans="1:7" x14ac:dyDescent="0.25">
      <c r="A384" s="1" t="s">
        <v>65</v>
      </c>
      <c r="B384" s="1" t="s">
        <v>31</v>
      </c>
      <c r="C384" s="1" t="s">
        <v>6</v>
      </c>
      <c r="D384" s="1">
        <v>19</v>
      </c>
      <c r="E384" s="7"/>
      <c r="F384" s="8"/>
      <c r="G384" s="4">
        <v>44850</v>
      </c>
    </row>
    <row r="385" spans="1:7" x14ac:dyDescent="0.25">
      <c r="A385" s="1" t="s">
        <v>66</v>
      </c>
      <c r="B385" s="1" t="s">
        <v>33</v>
      </c>
      <c r="C385" s="1" t="s">
        <v>22</v>
      </c>
      <c r="D385" s="1">
        <v>11</v>
      </c>
      <c r="E385" s="7"/>
      <c r="F385" s="8"/>
      <c r="G385" s="4">
        <v>44660</v>
      </c>
    </row>
    <row r="386" spans="1:7" x14ac:dyDescent="0.25">
      <c r="A386" s="1" t="s">
        <v>67</v>
      </c>
      <c r="B386" s="1" t="s">
        <v>35</v>
      </c>
      <c r="C386" s="1" t="s">
        <v>6</v>
      </c>
      <c r="D386" s="1">
        <v>7</v>
      </c>
      <c r="E386" s="7"/>
      <c r="F386" s="8"/>
      <c r="G386" s="4">
        <v>44664</v>
      </c>
    </row>
    <row r="387" spans="1:7" x14ac:dyDescent="0.25">
      <c r="A387" s="1" t="s">
        <v>68</v>
      </c>
      <c r="B387" s="1" t="s">
        <v>31</v>
      </c>
      <c r="C387" s="1" t="s">
        <v>22</v>
      </c>
      <c r="D387" s="1">
        <v>9</v>
      </c>
      <c r="E387" s="7"/>
      <c r="F387" s="8"/>
      <c r="G387" s="4">
        <v>45307</v>
      </c>
    </row>
    <row r="388" spans="1:7" x14ac:dyDescent="0.25">
      <c r="A388" s="1" t="s">
        <v>65</v>
      </c>
      <c r="B388" s="1" t="s">
        <v>33</v>
      </c>
      <c r="C388" s="1" t="s">
        <v>6</v>
      </c>
      <c r="D388" s="1">
        <v>3</v>
      </c>
      <c r="E388" s="7"/>
      <c r="F388" s="8"/>
      <c r="G388" s="4">
        <v>44608</v>
      </c>
    </row>
    <row r="389" spans="1:7" x14ac:dyDescent="0.25">
      <c r="A389" s="1" t="s">
        <v>66</v>
      </c>
      <c r="B389" s="1" t="s">
        <v>35</v>
      </c>
      <c r="C389" s="1" t="s">
        <v>8</v>
      </c>
      <c r="D389" s="1">
        <v>7</v>
      </c>
      <c r="E389" s="7"/>
      <c r="F389" s="8"/>
      <c r="G389" s="4">
        <v>45165</v>
      </c>
    </row>
    <row r="390" spans="1:7" x14ac:dyDescent="0.25">
      <c r="A390" s="1" t="s">
        <v>67</v>
      </c>
      <c r="B390" s="1" t="s">
        <v>31</v>
      </c>
      <c r="C390" s="1" t="s">
        <v>6</v>
      </c>
      <c r="D390" s="1">
        <v>4</v>
      </c>
      <c r="E390" s="7"/>
      <c r="F390" s="8"/>
      <c r="G390" s="4">
        <v>45369</v>
      </c>
    </row>
    <row r="391" spans="1:7" x14ac:dyDescent="0.25">
      <c r="A391" s="1" t="s">
        <v>68</v>
      </c>
      <c r="B391" s="1" t="s">
        <v>33</v>
      </c>
      <c r="C391" s="1" t="s">
        <v>22</v>
      </c>
      <c r="D391" s="1">
        <v>10</v>
      </c>
      <c r="E391" s="7"/>
      <c r="F391" s="8"/>
      <c r="G391" s="4">
        <v>45404</v>
      </c>
    </row>
    <row r="392" spans="1:7" x14ac:dyDescent="0.25">
      <c r="A392" s="1" t="s">
        <v>65</v>
      </c>
      <c r="B392" s="1" t="s">
        <v>35</v>
      </c>
      <c r="C392" s="1" t="s">
        <v>6</v>
      </c>
      <c r="D392" s="1">
        <v>18</v>
      </c>
      <c r="E392" s="7"/>
      <c r="F392" s="8"/>
      <c r="G392" s="4">
        <v>44775</v>
      </c>
    </row>
    <row r="393" spans="1:7" x14ac:dyDescent="0.25">
      <c r="A393" s="1" t="s">
        <v>66</v>
      </c>
      <c r="B393" s="1" t="s">
        <v>31</v>
      </c>
      <c r="C393" s="1" t="s">
        <v>22</v>
      </c>
      <c r="D393" s="1">
        <v>19</v>
      </c>
      <c r="E393" s="7"/>
      <c r="F393" s="8"/>
      <c r="G393" s="4">
        <v>45567</v>
      </c>
    </row>
    <row r="394" spans="1:7" x14ac:dyDescent="0.25">
      <c r="A394" s="1" t="s">
        <v>67</v>
      </c>
      <c r="B394" s="1" t="s">
        <v>33</v>
      </c>
      <c r="C394" s="1" t="s">
        <v>6</v>
      </c>
      <c r="D394" s="1">
        <v>20</v>
      </c>
      <c r="E394" s="7"/>
      <c r="F394" s="8"/>
      <c r="G394" s="4">
        <v>44983</v>
      </c>
    </row>
    <row r="395" spans="1:7" x14ac:dyDescent="0.25">
      <c r="A395" s="1" t="s">
        <v>68</v>
      </c>
      <c r="B395" s="1" t="s">
        <v>35</v>
      </c>
      <c r="C395" s="1" t="s">
        <v>22</v>
      </c>
      <c r="D395" s="1">
        <v>12</v>
      </c>
      <c r="E395" s="7"/>
      <c r="F395" s="8"/>
      <c r="G395" s="4">
        <v>45318</v>
      </c>
    </row>
    <row r="396" spans="1:7" x14ac:dyDescent="0.25">
      <c r="A396" s="1" t="s">
        <v>65</v>
      </c>
      <c r="B396" s="1" t="s">
        <v>31</v>
      </c>
      <c r="C396" s="1" t="s">
        <v>6</v>
      </c>
      <c r="D396" s="1">
        <v>23</v>
      </c>
      <c r="E396" s="7"/>
      <c r="F396" s="8"/>
      <c r="G396" s="4">
        <v>45195</v>
      </c>
    </row>
    <row r="397" spans="1:7" x14ac:dyDescent="0.25">
      <c r="A397" s="1" t="s">
        <v>66</v>
      </c>
      <c r="B397" s="1" t="s">
        <v>33</v>
      </c>
      <c r="C397" s="1" t="s">
        <v>22</v>
      </c>
      <c r="D397" s="1">
        <v>15</v>
      </c>
      <c r="E397" s="7"/>
      <c r="F397" s="8"/>
      <c r="G397" s="4">
        <v>44743</v>
      </c>
    </row>
    <row r="398" spans="1:7" x14ac:dyDescent="0.25">
      <c r="A398" s="1" t="s">
        <v>67</v>
      </c>
      <c r="B398" s="1" t="s">
        <v>35</v>
      </c>
      <c r="C398" s="1" t="s">
        <v>6</v>
      </c>
      <c r="D398" s="1">
        <v>7</v>
      </c>
      <c r="E398" s="7"/>
      <c r="F398" s="8"/>
      <c r="G398" s="4">
        <v>44755</v>
      </c>
    </row>
    <row r="399" spans="1:7" x14ac:dyDescent="0.25">
      <c r="A399" s="1" t="s">
        <v>68</v>
      </c>
      <c r="B399" s="1" t="s">
        <v>31</v>
      </c>
      <c r="C399" s="1" t="s">
        <v>22</v>
      </c>
      <c r="D399" s="1">
        <v>22</v>
      </c>
      <c r="E399" s="7"/>
      <c r="F399" s="8"/>
      <c r="G399" s="4">
        <v>45382</v>
      </c>
    </row>
    <row r="400" spans="1:7" x14ac:dyDescent="0.25">
      <c r="A400" s="1" t="s">
        <v>65</v>
      </c>
      <c r="B400" s="1" t="s">
        <v>33</v>
      </c>
      <c r="C400" s="1" t="s">
        <v>6</v>
      </c>
      <c r="D400" s="1">
        <v>25</v>
      </c>
      <c r="E400" s="7"/>
      <c r="F400" s="8"/>
      <c r="G400" s="4">
        <v>45131</v>
      </c>
    </row>
    <row r="401" spans="1:7" x14ac:dyDescent="0.25">
      <c r="A401" s="1" t="s">
        <v>66</v>
      </c>
      <c r="B401" s="1" t="s">
        <v>35</v>
      </c>
      <c r="C401" s="1" t="s">
        <v>22</v>
      </c>
      <c r="D401" s="1">
        <v>13</v>
      </c>
      <c r="E401" s="7"/>
      <c r="F401" s="8"/>
      <c r="G401" s="4">
        <v>45251</v>
      </c>
    </row>
    <row r="402" spans="1:7" x14ac:dyDescent="0.25">
      <c r="A402" s="1" t="s">
        <v>67</v>
      </c>
      <c r="B402" s="1" t="s">
        <v>31</v>
      </c>
      <c r="C402" s="1" t="s">
        <v>6</v>
      </c>
      <c r="D402" s="1">
        <v>18</v>
      </c>
      <c r="E402" s="7"/>
      <c r="F402" s="8"/>
      <c r="G402" s="4">
        <v>44583</v>
      </c>
    </row>
    <row r="403" spans="1:7" x14ac:dyDescent="0.25">
      <c r="A403" s="1" t="s">
        <v>68</v>
      </c>
      <c r="B403" s="1" t="s">
        <v>33</v>
      </c>
      <c r="C403" s="1" t="s">
        <v>22</v>
      </c>
      <c r="D403" s="1">
        <v>21</v>
      </c>
      <c r="E403" s="7"/>
      <c r="F403" s="8"/>
      <c r="G403" s="4">
        <v>44936</v>
      </c>
    </row>
    <row r="404" spans="1:7" x14ac:dyDescent="0.25">
      <c r="A404" s="1" t="s">
        <v>65</v>
      </c>
      <c r="B404" s="1" t="s">
        <v>35</v>
      </c>
      <c r="C404" s="1" t="s">
        <v>6</v>
      </c>
      <c r="D404" s="1">
        <v>6</v>
      </c>
      <c r="E404" s="7"/>
      <c r="F404" s="8"/>
      <c r="G404" s="4">
        <v>44715</v>
      </c>
    </row>
    <row r="405" spans="1:7" x14ac:dyDescent="0.25">
      <c r="A405" s="1" t="s">
        <v>66</v>
      </c>
      <c r="B405" s="1" t="s">
        <v>31</v>
      </c>
      <c r="C405" s="1" t="s">
        <v>22</v>
      </c>
      <c r="D405" s="1">
        <v>15</v>
      </c>
      <c r="E405" s="7"/>
      <c r="F405" s="8"/>
      <c r="G405" s="4">
        <v>44953</v>
      </c>
    </row>
    <row r="406" spans="1:7" x14ac:dyDescent="0.25">
      <c r="A406" s="1" t="s">
        <v>67</v>
      </c>
      <c r="B406" s="1" t="s">
        <v>33</v>
      </c>
      <c r="C406" s="1" t="s">
        <v>6</v>
      </c>
      <c r="D406" s="1">
        <v>5</v>
      </c>
      <c r="E406" s="7"/>
      <c r="F406" s="8"/>
      <c r="G406" s="4">
        <v>45266</v>
      </c>
    </row>
    <row r="407" spans="1:7" x14ac:dyDescent="0.25">
      <c r="A407" s="1" t="s">
        <v>68</v>
      </c>
      <c r="B407" s="1" t="s">
        <v>35</v>
      </c>
      <c r="C407" s="1" t="s">
        <v>22</v>
      </c>
      <c r="D407" s="1">
        <v>9</v>
      </c>
      <c r="E407" s="7"/>
      <c r="F407" s="8"/>
      <c r="G407" s="4">
        <v>44765</v>
      </c>
    </row>
    <row r="408" spans="1:7" x14ac:dyDescent="0.25">
      <c r="A408" s="1" t="s">
        <v>65</v>
      </c>
      <c r="B408" s="1" t="s">
        <v>31</v>
      </c>
      <c r="C408" s="1" t="s">
        <v>8</v>
      </c>
      <c r="D408" s="1">
        <v>18</v>
      </c>
      <c r="E408" s="7"/>
      <c r="F408" s="8"/>
      <c r="G408" s="4">
        <v>45522</v>
      </c>
    </row>
    <row r="409" spans="1:7" x14ac:dyDescent="0.25">
      <c r="A409" s="1" t="s">
        <v>66</v>
      </c>
      <c r="B409" s="1" t="s">
        <v>33</v>
      </c>
      <c r="C409" s="1" t="s">
        <v>22</v>
      </c>
      <c r="D409" s="1">
        <v>4</v>
      </c>
      <c r="E409" s="7"/>
      <c r="F409" s="8"/>
      <c r="G409" s="4">
        <v>44979</v>
      </c>
    </row>
    <row r="410" spans="1:7" x14ac:dyDescent="0.25">
      <c r="A410" s="1" t="s">
        <v>67</v>
      </c>
      <c r="B410" s="1" t="s">
        <v>35</v>
      </c>
      <c r="C410" s="1" t="s">
        <v>6</v>
      </c>
      <c r="D410" s="1">
        <v>15</v>
      </c>
      <c r="E410" s="7"/>
      <c r="F410" s="8"/>
      <c r="G410" s="4">
        <v>45233</v>
      </c>
    </row>
    <row r="411" spans="1:7" x14ac:dyDescent="0.25">
      <c r="A411" s="1" t="s">
        <v>68</v>
      </c>
      <c r="B411" s="1" t="s">
        <v>31</v>
      </c>
      <c r="C411" s="1" t="s">
        <v>22</v>
      </c>
      <c r="D411" s="1">
        <v>23</v>
      </c>
      <c r="E411" s="7"/>
      <c r="F411" s="8"/>
      <c r="G411" s="4">
        <v>45400</v>
      </c>
    </row>
    <row r="412" spans="1:7" x14ac:dyDescent="0.25">
      <c r="A412" s="1" t="s">
        <v>65</v>
      </c>
      <c r="B412" s="1" t="s">
        <v>31</v>
      </c>
      <c r="C412" s="1" t="s">
        <v>6</v>
      </c>
      <c r="D412" s="1">
        <v>7</v>
      </c>
      <c r="E412" s="7"/>
      <c r="F412" s="8"/>
      <c r="G412" s="4">
        <v>44592</v>
      </c>
    </row>
    <row r="413" spans="1:7" x14ac:dyDescent="0.25">
      <c r="A413" s="1" t="s">
        <v>66</v>
      </c>
      <c r="B413" s="1" t="s">
        <v>33</v>
      </c>
      <c r="C413" s="1" t="s">
        <v>22</v>
      </c>
      <c r="D413" s="1">
        <v>18</v>
      </c>
      <c r="E413" s="7"/>
      <c r="F413" s="8"/>
      <c r="G413" s="4">
        <v>44943</v>
      </c>
    </row>
    <row r="414" spans="1:7" x14ac:dyDescent="0.25">
      <c r="A414" s="1" t="s">
        <v>67</v>
      </c>
      <c r="B414" s="1" t="s">
        <v>35</v>
      </c>
      <c r="C414" s="1" t="s">
        <v>6</v>
      </c>
      <c r="D414" s="1">
        <v>20</v>
      </c>
      <c r="E414" s="7"/>
      <c r="F414" s="8"/>
      <c r="G414" s="4">
        <v>44768</v>
      </c>
    </row>
    <row r="415" spans="1:7" x14ac:dyDescent="0.25">
      <c r="A415" s="1" t="s">
        <v>68</v>
      </c>
      <c r="B415" s="1" t="s">
        <v>31</v>
      </c>
      <c r="C415" s="1" t="s">
        <v>8</v>
      </c>
      <c r="D415" s="1">
        <v>16</v>
      </c>
      <c r="E415" s="7"/>
      <c r="F415" s="8"/>
      <c r="G415" s="4">
        <v>44751</v>
      </c>
    </row>
    <row r="416" spans="1:7" x14ac:dyDescent="0.25">
      <c r="A416" s="1" t="s">
        <v>65</v>
      </c>
      <c r="B416" s="1" t="s">
        <v>33</v>
      </c>
      <c r="C416" s="1" t="s">
        <v>6</v>
      </c>
      <c r="D416" s="1">
        <v>21</v>
      </c>
      <c r="E416" s="7"/>
      <c r="F416" s="8"/>
      <c r="G416" s="4">
        <v>45596</v>
      </c>
    </row>
    <row r="417" spans="1:7" x14ac:dyDescent="0.25">
      <c r="A417" s="1" t="s">
        <v>66</v>
      </c>
      <c r="B417" s="1" t="s">
        <v>35</v>
      </c>
      <c r="C417" s="1" t="s">
        <v>22</v>
      </c>
      <c r="D417" s="1">
        <v>4</v>
      </c>
      <c r="E417" s="7"/>
      <c r="F417" s="8"/>
      <c r="G417" s="4">
        <v>44727</v>
      </c>
    </row>
    <row r="418" spans="1:7" x14ac:dyDescent="0.25">
      <c r="A418" s="1" t="s">
        <v>67</v>
      </c>
      <c r="B418" s="1" t="s">
        <v>31</v>
      </c>
      <c r="C418" s="1" t="s">
        <v>6</v>
      </c>
      <c r="D418" s="1">
        <v>6</v>
      </c>
      <c r="E418" s="7"/>
      <c r="F418" s="8"/>
      <c r="G418" s="4">
        <v>45561</v>
      </c>
    </row>
    <row r="419" spans="1:7" x14ac:dyDescent="0.25">
      <c r="A419" s="1" t="s">
        <v>68</v>
      </c>
      <c r="B419" s="1" t="s">
        <v>33</v>
      </c>
      <c r="C419" s="1" t="s">
        <v>22</v>
      </c>
      <c r="D419" s="1">
        <v>15</v>
      </c>
      <c r="E419" s="7"/>
      <c r="F419" s="8"/>
      <c r="G419" s="4">
        <v>45324</v>
      </c>
    </row>
    <row r="420" spans="1:7" x14ac:dyDescent="0.25">
      <c r="A420" s="1" t="s">
        <v>65</v>
      </c>
      <c r="B420" s="1" t="s">
        <v>35</v>
      </c>
      <c r="C420" s="1" t="s">
        <v>6</v>
      </c>
      <c r="D420" s="1">
        <v>3</v>
      </c>
      <c r="E420" s="7"/>
      <c r="F420" s="8"/>
      <c r="G420" s="4">
        <v>45098</v>
      </c>
    </row>
    <row r="421" spans="1:7" x14ac:dyDescent="0.25">
      <c r="A421" s="1" t="s">
        <v>66</v>
      </c>
      <c r="B421" s="1" t="s">
        <v>31</v>
      </c>
      <c r="C421" s="1" t="s">
        <v>22</v>
      </c>
      <c r="D421" s="1">
        <v>6</v>
      </c>
      <c r="E421" s="7"/>
      <c r="F421" s="8"/>
      <c r="G421" s="4">
        <v>44722</v>
      </c>
    </row>
    <row r="422" spans="1:7" x14ac:dyDescent="0.25">
      <c r="A422" s="1" t="s">
        <v>67</v>
      </c>
      <c r="B422" s="1" t="s">
        <v>33</v>
      </c>
      <c r="C422" s="1" t="s">
        <v>6</v>
      </c>
      <c r="D422" s="1">
        <v>14</v>
      </c>
      <c r="E422" s="7"/>
      <c r="F422" s="8"/>
      <c r="G422" s="4">
        <v>44672</v>
      </c>
    </row>
    <row r="423" spans="1:7" x14ac:dyDescent="0.25">
      <c r="A423" s="1" t="s">
        <v>68</v>
      </c>
      <c r="B423" s="1" t="s">
        <v>35</v>
      </c>
      <c r="C423" s="1" t="s">
        <v>8</v>
      </c>
      <c r="D423" s="1">
        <v>3</v>
      </c>
      <c r="E423" s="7"/>
      <c r="F423" s="8"/>
      <c r="G423" s="4">
        <v>44933</v>
      </c>
    </row>
    <row r="424" spans="1:7" x14ac:dyDescent="0.25">
      <c r="A424" s="1" t="s">
        <v>65</v>
      </c>
      <c r="B424" s="1" t="s">
        <v>31</v>
      </c>
      <c r="C424" s="1" t="s">
        <v>6</v>
      </c>
      <c r="D424" s="1">
        <v>21</v>
      </c>
      <c r="E424" s="7"/>
      <c r="F424" s="8"/>
      <c r="G424" s="4">
        <v>45268</v>
      </c>
    </row>
    <row r="425" spans="1:7" x14ac:dyDescent="0.25">
      <c r="A425" s="1" t="s">
        <v>66</v>
      </c>
      <c r="B425" s="1" t="s">
        <v>33</v>
      </c>
      <c r="C425" s="1" t="s">
        <v>22</v>
      </c>
      <c r="D425" s="1">
        <v>21</v>
      </c>
      <c r="E425" s="7"/>
      <c r="F425" s="8"/>
      <c r="G425" s="4">
        <v>44747</v>
      </c>
    </row>
    <row r="426" spans="1:7" x14ac:dyDescent="0.25">
      <c r="A426" s="1" t="s">
        <v>67</v>
      </c>
      <c r="B426" s="1" t="s">
        <v>35</v>
      </c>
      <c r="C426" s="1" t="s">
        <v>6</v>
      </c>
      <c r="D426" s="1">
        <v>8</v>
      </c>
      <c r="E426" s="7"/>
      <c r="F426" s="8"/>
      <c r="G426" s="4">
        <v>44785</v>
      </c>
    </row>
    <row r="427" spans="1:7" x14ac:dyDescent="0.25">
      <c r="A427" s="1" t="s">
        <v>68</v>
      </c>
      <c r="B427" s="1" t="s">
        <v>31</v>
      </c>
      <c r="C427" s="1" t="s">
        <v>22</v>
      </c>
      <c r="D427" s="1">
        <v>15</v>
      </c>
      <c r="E427" s="7"/>
      <c r="F427" s="8"/>
      <c r="G427" s="4">
        <v>45056</v>
      </c>
    </row>
    <row r="428" spans="1:7" x14ac:dyDescent="0.25">
      <c r="A428" s="1" t="s">
        <v>65</v>
      </c>
      <c r="B428" s="1" t="s">
        <v>33</v>
      </c>
      <c r="C428" s="1" t="s">
        <v>6</v>
      </c>
      <c r="D428" s="1">
        <v>22</v>
      </c>
      <c r="E428" s="7"/>
      <c r="F428" s="8"/>
      <c r="G428" s="4">
        <v>45066</v>
      </c>
    </row>
    <row r="429" spans="1:7" x14ac:dyDescent="0.25">
      <c r="A429" s="1" t="s">
        <v>66</v>
      </c>
      <c r="B429" s="1" t="s">
        <v>35</v>
      </c>
      <c r="C429" s="1" t="s">
        <v>22</v>
      </c>
      <c r="D429" s="1">
        <v>22</v>
      </c>
      <c r="E429" s="7"/>
      <c r="F429" s="8"/>
      <c r="G429" s="4">
        <v>45506</v>
      </c>
    </row>
    <row r="430" spans="1:7" x14ac:dyDescent="0.25">
      <c r="A430" s="1" t="s">
        <v>67</v>
      </c>
      <c r="B430" s="1" t="s">
        <v>31</v>
      </c>
      <c r="C430" s="1" t="s">
        <v>6</v>
      </c>
      <c r="D430" s="1">
        <v>8</v>
      </c>
      <c r="E430" s="7"/>
      <c r="F430" s="8"/>
      <c r="G430" s="4">
        <v>44706</v>
      </c>
    </row>
    <row r="431" spans="1:7" x14ac:dyDescent="0.25">
      <c r="A431" s="1" t="s">
        <v>68</v>
      </c>
      <c r="B431" s="1" t="s">
        <v>33</v>
      </c>
      <c r="C431" s="1" t="s">
        <v>22</v>
      </c>
      <c r="D431" s="1">
        <v>23</v>
      </c>
      <c r="E431" s="7"/>
      <c r="F431" s="8"/>
      <c r="G431" s="4">
        <v>44807</v>
      </c>
    </row>
    <row r="432" spans="1:7" x14ac:dyDescent="0.25">
      <c r="A432" s="1" t="s">
        <v>65</v>
      </c>
      <c r="B432" s="1" t="s">
        <v>35</v>
      </c>
      <c r="C432" s="1" t="s">
        <v>6</v>
      </c>
      <c r="D432" s="1">
        <v>25</v>
      </c>
      <c r="E432" s="7"/>
      <c r="F432" s="8"/>
      <c r="G432" s="4">
        <v>45235</v>
      </c>
    </row>
    <row r="433" spans="1:7" x14ac:dyDescent="0.25">
      <c r="A433" s="1" t="s">
        <v>66</v>
      </c>
      <c r="B433" s="1" t="s">
        <v>31</v>
      </c>
      <c r="C433" s="1" t="s">
        <v>22</v>
      </c>
      <c r="D433" s="1">
        <v>15</v>
      </c>
      <c r="E433" s="7"/>
      <c r="F433" s="8"/>
      <c r="G433" s="4">
        <v>44902</v>
      </c>
    </row>
    <row r="434" spans="1:7" x14ac:dyDescent="0.25">
      <c r="A434" s="1" t="s">
        <v>67</v>
      </c>
      <c r="B434" s="1" t="s">
        <v>33</v>
      </c>
      <c r="C434" s="1" t="s">
        <v>6</v>
      </c>
      <c r="D434" s="1">
        <v>16</v>
      </c>
      <c r="E434" s="7"/>
      <c r="F434" s="8"/>
      <c r="G434" s="4">
        <v>45385</v>
      </c>
    </row>
    <row r="435" spans="1:7" x14ac:dyDescent="0.25">
      <c r="A435" s="1" t="s">
        <v>68</v>
      </c>
      <c r="B435" s="1" t="s">
        <v>35</v>
      </c>
      <c r="C435" s="1" t="s">
        <v>22</v>
      </c>
      <c r="D435" s="1">
        <v>20</v>
      </c>
      <c r="E435" s="7"/>
      <c r="F435" s="8"/>
      <c r="G435" s="4">
        <v>45380</v>
      </c>
    </row>
    <row r="436" spans="1:7" x14ac:dyDescent="0.25">
      <c r="A436" s="1" t="s">
        <v>65</v>
      </c>
      <c r="B436" s="1" t="s">
        <v>31</v>
      </c>
      <c r="C436" s="1" t="s">
        <v>6</v>
      </c>
      <c r="D436" s="1">
        <v>19</v>
      </c>
      <c r="E436" s="7"/>
      <c r="F436" s="8"/>
      <c r="G436" s="4">
        <v>45283</v>
      </c>
    </row>
    <row r="437" spans="1:7" x14ac:dyDescent="0.25">
      <c r="A437" s="1" t="s">
        <v>66</v>
      </c>
      <c r="B437" s="1" t="s">
        <v>33</v>
      </c>
      <c r="C437" s="1" t="s">
        <v>22</v>
      </c>
      <c r="D437" s="1">
        <v>13</v>
      </c>
      <c r="E437" s="7"/>
      <c r="F437" s="8"/>
      <c r="G437" s="4">
        <v>44856</v>
      </c>
    </row>
    <row r="438" spans="1:7" x14ac:dyDescent="0.25">
      <c r="A438" s="1" t="s">
        <v>67</v>
      </c>
      <c r="B438" s="1" t="s">
        <v>35</v>
      </c>
      <c r="C438" s="1" t="s">
        <v>6</v>
      </c>
      <c r="D438" s="1">
        <v>23</v>
      </c>
      <c r="E438" s="7"/>
      <c r="F438" s="8"/>
      <c r="G438" s="4">
        <v>44823</v>
      </c>
    </row>
    <row r="439" spans="1:7" x14ac:dyDescent="0.25">
      <c r="A439" s="1" t="s">
        <v>68</v>
      </c>
      <c r="B439" s="1" t="s">
        <v>31</v>
      </c>
      <c r="C439" s="1" t="s">
        <v>22</v>
      </c>
      <c r="D439" s="1">
        <v>16</v>
      </c>
      <c r="E439" s="7"/>
      <c r="F439" s="8"/>
      <c r="G439" s="4">
        <v>45325</v>
      </c>
    </row>
    <row r="440" spans="1:7" x14ac:dyDescent="0.25">
      <c r="A440" s="1" t="s">
        <v>65</v>
      </c>
      <c r="B440" s="1" t="s">
        <v>33</v>
      </c>
      <c r="C440" s="1" t="s">
        <v>6</v>
      </c>
      <c r="D440" s="1">
        <v>24</v>
      </c>
      <c r="E440" s="7"/>
      <c r="F440" s="8"/>
      <c r="G440" s="4">
        <v>44760</v>
      </c>
    </row>
    <row r="441" spans="1:7" x14ac:dyDescent="0.25">
      <c r="A441" s="1" t="s">
        <v>66</v>
      </c>
      <c r="B441" s="1" t="s">
        <v>35</v>
      </c>
      <c r="C441" s="1" t="s">
        <v>22</v>
      </c>
      <c r="D441" s="1">
        <v>5</v>
      </c>
      <c r="E441" s="7"/>
      <c r="F441" s="8"/>
      <c r="G441" s="4">
        <v>45305</v>
      </c>
    </row>
    <row r="442" spans="1:7" x14ac:dyDescent="0.25">
      <c r="A442" s="1" t="s">
        <v>67</v>
      </c>
      <c r="B442" s="1" t="s">
        <v>31</v>
      </c>
      <c r="C442" s="1" t="s">
        <v>8</v>
      </c>
      <c r="D442" s="1">
        <v>24</v>
      </c>
      <c r="E442" s="7"/>
      <c r="F442" s="8"/>
      <c r="G442" s="4">
        <v>45095</v>
      </c>
    </row>
    <row r="443" spans="1:7" x14ac:dyDescent="0.25">
      <c r="A443" s="1" t="s">
        <v>68</v>
      </c>
      <c r="B443" s="1" t="s">
        <v>33</v>
      </c>
      <c r="C443" s="1" t="s">
        <v>22</v>
      </c>
      <c r="D443" s="1">
        <v>16</v>
      </c>
      <c r="E443" s="7"/>
      <c r="F443" s="8"/>
      <c r="G443" s="4">
        <v>44857</v>
      </c>
    </row>
    <row r="444" spans="1:7" x14ac:dyDescent="0.25">
      <c r="A444" s="1" t="s">
        <v>65</v>
      </c>
      <c r="B444" s="1" t="s">
        <v>35</v>
      </c>
      <c r="C444" s="1" t="s">
        <v>6</v>
      </c>
      <c r="D444" s="1">
        <v>25</v>
      </c>
      <c r="E444" s="7"/>
      <c r="F444" s="8"/>
      <c r="G444" s="4">
        <v>45061</v>
      </c>
    </row>
    <row r="445" spans="1:7" x14ac:dyDescent="0.25">
      <c r="A445" s="1" t="s">
        <v>66</v>
      </c>
      <c r="B445" s="1" t="s">
        <v>31</v>
      </c>
      <c r="C445" s="1" t="s">
        <v>22</v>
      </c>
      <c r="D445" s="1">
        <v>22</v>
      </c>
      <c r="E445" s="7"/>
      <c r="F445" s="8"/>
      <c r="G445" s="4">
        <v>44808</v>
      </c>
    </row>
    <row r="446" spans="1:7" x14ac:dyDescent="0.25">
      <c r="A446" s="1" t="s">
        <v>67</v>
      </c>
      <c r="B446" s="1" t="s">
        <v>31</v>
      </c>
      <c r="C446" s="1" t="s">
        <v>6</v>
      </c>
      <c r="D446" s="1">
        <v>12</v>
      </c>
      <c r="E446" s="7"/>
      <c r="F446" s="8"/>
      <c r="G446" s="4">
        <v>44959</v>
      </c>
    </row>
    <row r="447" spans="1:7" x14ac:dyDescent="0.25">
      <c r="A447" s="1" t="s">
        <v>68</v>
      </c>
      <c r="B447" s="1" t="s">
        <v>33</v>
      </c>
      <c r="C447" s="1" t="s">
        <v>22</v>
      </c>
      <c r="D447" s="1">
        <v>10</v>
      </c>
      <c r="E447" s="7"/>
      <c r="F447" s="8"/>
      <c r="G447" s="4">
        <v>44825</v>
      </c>
    </row>
    <row r="448" spans="1:7" x14ac:dyDescent="0.25">
      <c r="A448" s="1" t="s">
        <v>65</v>
      </c>
      <c r="B448" s="1" t="s">
        <v>35</v>
      </c>
      <c r="C448" s="1" t="s">
        <v>6</v>
      </c>
      <c r="D448" s="1">
        <v>9</v>
      </c>
      <c r="E448" s="7"/>
      <c r="F448" s="8"/>
      <c r="G448" s="4">
        <v>45547</v>
      </c>
    </row>
    <row r="449" spans="1:7" x14ac:dyDescent="0.25">
      <c r="A449" s="1" t="s">
        <v>66</v>
      </c>
      <c r="B449" s="1" t="s">
        <v>31</v>
      </c>
      <c r="C449" s="1" t="s">
        <v>8</v>
      </c>
      <c r="D449" s="1">
        <v>5</v>
      </c>
      <c r="E449" s="7"/>
      <c r="F449" s="8"/>
      <c r="G449" s="4">
        <v>45082</v>
      </c>
    </row>
    <row r="450" spans="1:7" x14ac:dyDescent="0.25">
      <c r="A450" s="1" t="s">
        <v>67</v>
      </c>
      <c r="B450" s="1" t="s">
        <v>33</v>
      </c>
      <c r="C450" s="1" t="s">
        <v>6</v>
      </c>
      <c r="D450" s="1">
        <v>5</v>
      </c>
      <c r="E450" s="7"/>
      <c r="F450" s="8"/>
      <c r="G450" s="4">
        <v>45051</v>
      </c>
    </row>
    <row r="451" spans="1:7" x14ac:dyDescent="0.25">
      <c r="A451" s="1" t="s">
        <v>68</v>
      </c>
      <c r="B451" s="1" t="s">
        <v>35</v>
      </c>
      <c r="C451" s="1" t="s">
        <v>22</v>
      </c>
      <c r="D451" s="1">
        <v>23</v>
      </c>
      <c r="E451" s="7"/>
      <c r="F451" s="8"/>
      <c r="G451" s="4">
        <v>45279</v>
      </c>
    </row>
    <row r="452" spans="1:7" x14ac:dyDescent="0.25">
      <c r="A452" s="1" t="s">
        <v>65</v>
      </c>
      <c r="B452" s="1" t="s">
        <v>31</v>
      </c>
      <c r="C452" s="1" t="s">
        <v>6</v>
      </c>
      <c r="D452" s="1">
        <v>4</v>
      </c>
      <c r="E452" s="7"/>
      <c r="F452" s="8"/>
      <c r="G452" s="4">
        <v>44599</v>
      </c>
    </row>
    <row r="453" spans="1:7" x14ac:dyDescent="0.25">
      <c r="A453" s="1" t="s">
        <v>66</v>
      </c>
      <c r="B453" s="1" t="s">
        <v>33</v>
      </c>
      <c r="C453" s="1" t="s">
        <v>22</v>
      </c>
      <c r="D453" s="1">
        <v>18</v>
      </c>
      <c r="E453" s="7"/>
      <c r="F453" s="8"/>
      <c r="G453" s="4">
        <v>44931</v>
      </c>
    </row>
    <row r="454" spans="1:7" x14ac:dyDescent="0.25">
      <c r="A454" s="1" t="s">
        <v>67</v>
      </c>
      <c r="B454" s="1" t="s">
        <v>35</v>
      </c>
      <c r="C454" s="1" t="s">
        <v>6</v>
      </c>
      <c r="D454" s="1">
        <v>24</v>
      </c>
      <c r="E454" s="7"/>
      <c r="F454" s="8"/>
      <c r="G454" s="4">
        <v>44973</v>
      </c>
    </row>
    <row r="455" spans="1:7" x14ac:dyDescent="0.25">
      <c r="A455" s="1" t="s">
        <v>68</v>
      </c>
      <c r="B455" s="1" t="s">
        <v>31</v>
      </c>
      <c r="C455" s="1" t="s">
        <v>22</v>
      </c>
      <c r="D455" s="1">
        <v>20</v>
      </c>
      <c r="E455" s="7"/>
      <c r="F455" s="8"/>
      <c r="G455" s="4">
        <v>45437</v>
      </c>
    </row>
    <row r="456" spans="1:7" x14ac:dyDescent="0.25">
      <c r="A456" s="1" t="s">
        <v>65</v>
      </c>
      <c r="B456" s="1" t="s">
        <v>33</v>
      </c>
      <c r="C456" s="1" t="s">
        <v>6</v>
      </c>
      <c r="D456" s="1">
        <v>14</v>
      </c>
      <c r="E456" s="7"/>
      <c r="F456" s="8"/>
      <c r="G456" s="4">
        <v>44998</v>
      </c>
    </row>
    <row r="457" spans="1:7" x14ac:dyDescent="0.25">
      <c r="A457" s="1" t="s">
        <v>66</v>
      </c>
      <c r="B457" s="1" t="s">
        <v>35</v>
      </c>
      <c r="C457" s="1" t="s">
        <v>8</v>
      </c>
      <c r="D457" s="1">
        <v>9</v>
      </c>
      <c r="E457" s="7"/>
      <c r="F457" s="8"/>
      <c r="G457" s="4">
        <v>45214</v>
      </c>
    </row>
    <row r="458" spans="1:7" x14ac:dyDescent="0.25">
      <c r="A458" s="1" t="s">
        <v>67</v>
      </c>
      <c r="B458" s="1" t="s">
        <v>31</v>
      </c>
      <c r="C458" s="1" t="s">
        <v>6</v>
      </c>
      <c r="D458" s="1">
        <v>25</v>
      </c>
      <c r="E458" s="7"/>
      <c r="F458" s="8"/>
      <c r="G458" s="4">
        <v>44908</v>
      </c>
    </row>
    <row r="459" spans="1:7" x14ac:dyDescent="0.25">
      <c r="A459" s="1" t="s">
        <v>68</v>
      </c>
      <c r="B459" s="1" t="s">
        <v>33</v>
      </c>
      <c r="C459" s="1" t="s">
        <v>22</v>
      </c>
      <c r="D459" s="1">
        <v>9</v>
      </c>
      <c r="E459" s="7"/>
      <c r="F459" s="8"/>
      <c r="G459" s="4">
        <v>45568</v>
      </c>
    </row>
    <row r="460" spans="1:7" x14ac:dyDescent="0.25">
      <c r="A460" s="1" t="s">
        <v>65</v>
      </c>
      <c r="B460" s="1" t="s">
        <v>35</v>
      </c>
      <c r="C460" s="1" t="s">
        <v>6</v>
      </c>
      <c r="D460" s="1">
        <v>19</v>
      </c>
      <c r="E460" s="7"/>
      <c r="F460" s="8"/>
      <c r="G460" s="4">
        <v>44901</v>
      </c>
    </row>
    <row r="461" spans="1:7" x14ac:dyDescent="0.25">
      <c r="A461" s="1" t="s">
        <v>66</v>
      </c>
      <c r="B461" s="1" t="s">
        <v>31</v>
      </c>
      <c r="C461" s="1" t="s">
        <v>22</v>
      </c>
      <c r="D461" s="1">
        <v>3</v>
      </c>
      <c r="E461" s="7"/>
      <c r="F461" s="8"/>
      <c r="G461" s="4">
        <v>45142</v>
      </c>
    </row>
    <row r="462" spans="1:7" x14ac:dyDescent="0.25">
      <c r="A462" s="1" t="s">
        <v>67</v>
      </c>
      <c r="B462" s="1" t="s">
        <v>33</v>
      </c>
      <c r="C462" s="1" t="s">
        <v>6</v>
      </c>
      <c r="D462" s="1">
        <v>11</v>
      </c>
      <c r="E462" s="7"/>
      <c r="F462" s="8"/>
      <c r="G462" s="4">
        <v>45163</v>
      </c>
    </row>
    <row r="463" spans="1:7" x14ac:dyDescent="0.25">
      <c r="A463" s="1" t="s">
        <v>68</v>
      </c>
      <c r="B463" s="1" t="s">
        <v>35</v>
      </c>
      <c r="C463" s="1" t="s">
        <v>22</v>
      </c>
      <c r="D463" s="1">
        <v>9</v>
      </c>
      <c r="E463" s="7"/>
      <c r="F463" s="8"/>
      <c r="G463" s="4">
        <v>45127</v>
      </c>
    </row>
    <row r="464" spans="1:7" x14ac:dyDescent="0.25">
      <c r="A464" s="1" t="s">
        <v>65</v>
      </c>
      <c r="B464" s="1" t="s">
        <v>31</v>
      </c>
      <c r="C464" s="1" t="s">
        <v>6</v>
      </c>
      <c r="D464" s="1">
        <v>15</v>
      </c>
      <c r="E464" s="7"/>
      <c r="F464" s="8"/>
      <c r="G464" s="4">
        <v>44831</v>
      </c>
    </row>
    <row r="465" spans="1:7" x14ac:dyDescent="0.25">
      <c r="A465" s="1" t="s">
        <v>66</v>
      </c>
      <c r="B465" s="1" t="s">
        <v>33</v>
      </c>
      <c r="C465" s="1" t="s">
        <v>22</v>
      </c>
      <c r="D465" s="1">
        <v>12</v>
      </c>
      <c r="E465" s="7"/>
      <c r="F465" s="8"/>
      <c r="G465" s="4">
        <v>44613</v>
      </c>
    </row>
    <row r="466" spans="1:7" x14ac:dyDescent="0.25">
      <c r="A466" s="1" t="s">
        <v>67</v>
      </c>
      <c r="B466" s="1" t="s">
        <v>35</v>
      </c>
      <c r="C466" s="1" t="s">
        <v>6</v>
      </c>
      <c r="D466" s="1">
        <v>18</v>
      </c>
      <c r="E466" s="7"/>
      <c r="F466" s="8"/>
      <c r="G466" s="4">
        <v>45067</v>
      </c>
    </row>
    <row r="467" spans="1:7" x14ac:dyDescent="0.25">
      <c r="A467" s="1" t="s">
        <v>68</v>
      </c>
      <c r="B467" s="1" t="s">
        <v>31</v>
      </c>
      <c r="C467" s="1" t="s">
        <v>22</v>
      </c>
      <c r="D467" s="1">
        <v>3</v>
      </c>
      <c r="E467" s="7"/>
      <c r="F467" s="8"/>
      <c r="G467" s="4">
        <v>44574</v>
      </c>
    </row>
    <row r="468" spans="1:7" x14ac:dyDescent="0.25">
      <c r="A468" s="1" t="s">
        <v>65</v>
      </c>
      <c r="B468" s="1" t="s">
        <v>33</v>
      </c>
      <c r="C468" s="1" t="s">
        <v>6</v>
      </c>
      <c r="D468" s="1">
        <v>23</v>
      </c>
      <c r="E468" s="7"/>
      <c r="F468" s="8"/>
      <c r="G468" s="4">
        <v>44956</v>
      </c>
    </row>
    <row r="469" spans="1:7" x14ac:dyDescent="0.25">
      <c r="A469" s="1" t="s">
        <v>66</v>
      </c>
      <c r="B469" s="1" t="s">
        <v>35</v>
      </c>
      <c r="C469" s="1" t="s">
        <v>22</v>
      </c>
      <c r="D469" s="1">
        <v>8</v>
      </c>
      <c r="E469" s="7"/>
      <c r="F469" s="8"/>
      <c r="G469" s="4">
        <v>44850</v>
      </c>
    </row>
    <row r="470" spans="1:7" x14ac:dyDescent="0.25">
      <c r="A470" s="1" t="s">
        <v>67</v>
      </c>
      <c r="B470" s="1" t="s">
        <v>31</v>
      </c>
      <c r="C470" s="1" t="s">
        <v>6</v>
      </c>
      <c r="D470" s="1">
        <v>5</v>
      </c>
      <c r="E470" s="7"/>
      <c r="F470" s="8"/>
      <c r="G470" s="4">
        <v>44915</v>
      </c>
    </row>
    <row r="471" spans="1:7" x14ac:dyDescent="0.25">
      <c r="A471" s="1" t="s">
        <v>68</v>
      </c>
      <c r="B471" s="1" t="s">
        <v>33</v>
      </c>
      <c r="C471" s="1" t="s">
        <v>22</v>
      </c>
      <c r="D471" s="1">
        <v>25</v>
      </c>
      <c r="E471" s="7"/>
      <c r="F471" s="8"/>
      <c r="G471" s="4">
        <v>44780</v>
      </c>
    </row>
    <row r="472" spans="1:7" x14ac:dyDescent="0.25">
      <c r="A472" s="1" t="s">
        <v>65</v>
      </c>
      <c r="B472" s="1" t="s">
        <v>35</v>
      </c>
      <c r="C472" s="1" t="s">
        <v>6</v>
      </c>
      <c r="D472" s="1">
        <v>13</v>
      </c>
      <c r="E472" s="7"/>
      <c r="F472" s="8"/>
      <c r="G472" s="4">
        <v>45430</v>
      </c>
    </row>
    <row r="473" spans="1:7" x14ac:dyDescent="0.25">
      <c r="A473" s="1" t="s">
        <v>66</v>
      </c>
      <c r="B473" s="1" t="s">
        <v>31</v>
      </c>
      <c r="C473" s="1" t="s">
        <v>22</v>
      </c>
      <c r="D473" s="1">
        <v>19</v>
      </c>
      <c r="E473" s="7"/>
      <c r="F473" s="8"/>
      <c r="G473" s="4">
        <v>44570</v>
      </c>
    </row>
    <row r="474" spans="1:7" x14ac:dyDescent="0.25">
      <c r="A474" s="1" t="s">
        <v>67</v>
      </c>
      <c r="B474" s="1" t="s">
        <v>33</v>
      </c>
      <c r="C474" s="1" t="s">
        <v>6</v>
      </c>
      <c r="D474" s="1">
        <v>8</v>
      </c>
      <c r="E474" s="7"/>
      <c r="F474" s="8"/>
      <c r="G474" s="4">
        <v>45025</v>
      </c>
    </row>
    <row r="475" spans="1:7" x14ac:dyDescent="0.25">
      <c r="A475" s="1" t="s">
        <v>68</v>
      </c>
      <c r="B475" s="1" t="s">
        <v>35</v>
      </c>
      <c r="C475" s="1" t="s">
        <v>22</v>
      </c>
      <c r="D475" s="1">
        <v>4</v>
      </c>
      <c r="E475" s="7"/>
      <c r="F475" s="8"/>
      <c r="G475" s="4">
        <v>45249</v>
      </c>
    </row>
    <row r="476" spans="1:7" x14ac:dyDescent="0.25">
      <c r="A476" s="1" t="s">
        <v>65</v>
      </c>
      <c r="B476" s="1" t="s">
        <v>31</v>
      </c>
      <c r="C476" s="1" t="s">
        <v>8</v>
      </c>
      <c r="D476" s="1">
        <v>14</v>
      </c>
      <c r="E476" s="7"/>
      <c r="F476" s="8"/>
      <c r="G476" s="4">
        <v>44601</v>
      </c>
    </row>
    <row r="477" spans="1:7" x14ac:dyDescent="0.25">
      <c r="A477" s="1" t="s">
        <v>66</v>
      </c>
      <c r="B477" s="1" t="s">
        <v>33</v>
      </c>
      <c r="C477" s="1" t="s">
        <v>22</v>
      </c>
      <c r="D477" s="1">
        <v>14</v>
      </c>
      <c r="E477" s="7"/>
      <c r="F477" s="8"/>
      <c r="G477" s="4">
        <v>44785</v>
      </c>
    </row>
    <row r="478" spans="1:7" x14ac:dyDescent="0.25">
      <c r="A478" s="1" t="s">
        <v>67</v>
      </c>
      <c r="B478" s="1" t="s">
        <v>35</v>
      </c>
      <c r="C478" s="1" t="s">
        <v>6</v>
      </c>
      <c r="D478" s="1">
        <v>23</v>
      </c>
      <c r="E478" s="7"/>
      <c r="F478" s="8"/>
      <c r="G478" s="4">
        <v>44945</v>
      </c>
    </row>
    <row r="479" spans="1:7" x14ac:dyDescent="0.25">
      <c r="A479" s="1" t="s">
        <v>68</v>
      </c>
      <c r="B479" s="1" t="s">
        <v>31</v>
      </c>
      <c r="C479" s="1" t="s">
        <v>22</v>
      </c>
      <c r="D479" s="1">
        <v>21</v>
      </c>
      <c r="E479" s="7"/>
      <c r="F479" s="8"/>
      <c r="G479" s="4">
        <v>44938</v>
      </c>
    </row>
    <row r="480" spans="1:7" x14ac:dyDescent="0.25">
      <c r="A480" s="1" t="s">
        <v>65</v>
      </c>
      <c r="B480" s="1" t="s">
        <v>31</v>
      </c>
      <c r="C480" s="1" t="s">
        <v>6</v>
      </c>
      <c r="D480" s="1">
        <v>5</v>
      </c>
      <c r="E480" s="7"/>
      <c r="F480" s="8"/>
      <c r="G480" s="4">
        <v>44678</v>
      </c>
    </row>
    <row r="481" spans="1:7" x14ac:dyDescent="0.25">
      <c r="A481" s="1" t="s">
        <v>66</v>
      </c>
      <c r="B481" s="1" t="s">
        <v>33</v>
      </c>
      <c r="C481" s="1" t="s">
        <v>22</v>
      </c>
      <c r="D481" s="1">
        <v>10</v>
      </c>
      <c r="E481" s="7"/>
      <c r="F481" s="8"/>
      <c r="G481" s="4">
        <v>45141</v>
      </c>
    </row>
    <row r="482" spans="1:7" x14ac:dyDescent="0.25">
      <c r="A482" s="1" t="s">
        <v>67</v>
      </c>
      <c r="B482" s="1" t="s">
        <v>35</v>
      </c>
      <c r="C482" s="1" t="s">
        <v>6</v>
      </c>
      <c r="D482" s="1">
        <v>15</v>
      </c>
      <c r="E482" s="7"/>
      <c r="F482" s="8"/>
      <c r="G482" s="4">
        <v>45139</v>
      </c>
    </row>
    <row r="483" spans="1:7" x14ac:dyDescent="0.25">
      <c r="A483" s="1" t="s">
        <v>68</v>
      </c>
      <c r="B483" s="1" t="s">
        <v>31</v>
      </c>
      <c r="C483" s="1" t="s">
        <v>8</v>
      </c>
      <c r="D483" s="1">
        <v>12</v>
      </c>
      <c r="E483" s="7"/>
      <c r="F483" s="8"/>
      <c r="G483" s="4">
        <v>44727</v>
      </c>
    </row>
    <row r="484" spans="1:7" x14ac:dyDescent="0.25">
      <c r="A484" s="1" t="s">
        <v>65</v>
      </c>
      <c r="B484" s="1" t="s">
        <v>33</v>
      </c>
      <c r="C484" s="1" t="s">
        <v>6</v>
      </c>
      <c r="D484" s="1">
        <v>11</v>
      </c>
      <c r="E484" s="7"/>
      <c r="F484" s="8"/>
      <c r="G484" s="4">
        <v>45444</v>
      </c>
    </row>
    <row r="485" spans="1:7" x14ac:dyDescent="0.25">
      <c r="A485" s="1" t="s">
        <v>66</v>
      </c>
      <c r="B485" s="1" t="s">
        <v>35</v>
      </c>
      <c r="C485" s="1" t="s">
        <v>22</v>
      </c>
      <c r="D485" s="1">
        <v>20</v>
      </c>
      <c r="E485" s="7"/>
      <c r="F485" s="8"/>
      <c r="G485" s="4">
        <v>44973</v>
      </c>
    </row>
    <row r="486" spans="1:7" x14ac:dyDescent="0.25">
      <c r="A486" s="1" t="s">
        <v>67</v>
      </c>
      <c r="B486" s="1" t="s">
        <v>31</v>
      </c>
      <c r="C486" s="1" t="s">
        <v>6</v>
      </c>
      <c r="D486" s="1">
        <v>19</v>
      </c>
      <c r="E486" s="7"/>
      <c r="F486" s="8"/>
      <c r="G486" s="4">
        <v>44705</v>
      </c>
    </row>
    <row r="487" spans="1:7" x14ac:dyDescent="0.25">
      <c r="A487" s="1" t="s">
        <v>68</v>
      </c>
      <c r="B487" s="1" t="s">
        <v>33</v>
      </c>
      <c r="C487" s="1" t="s">
        <v>22</v>
      </c>
      <c r="D487" s="1">
        <v>21</v>
      </c>
      <c r="E487" s="7"/>
      <c r="F487" s="8"/>
      <c r="G487" s="4">
        <v>44723</v>
      </c>
    </row>
    <row r="488" spans="1:7" x14ac:dyDescent="0.25">
      <c r="A488" s="1" t="s">
        <v>65</v>
      </c>
      <c r="B488" s="1" t="s">
        <v>35</v>
      </c>
      <c r="C488" s="1" t="s">
        <v>6</v>
      </c>
      <c r="D488" s="1">
        <v>11</v>
      </c>
      <c r="E488" s="7"/>
      <c r="F488" s="8"/>
      <c r="G488" s="4">
        <v>45284</v>
      </c>
    </row>
    <row r="489" spans="1:7" x14ac:dyDescent="0.25">
      <c r="A489" s="1" t="s">
        <v>66</v>
      </c>
      <c r="B489" s="1" t="s">
        <v>31</v>
      </c>
      <c r="C489" s="1" t="s">
        <v>22</v>
      </c>
      <c r="D489" s="1">
        <v>21</v>
      </c>
      <c r="E489" s="7"/>
      <c r="F489" s="8"/>
      <c r="G489" s="4">
        <v>44589</v>
      </c>
    </row>
    <row r="490" spans="1:7" x14ac:dyDescent="0.25">
      <c r="A490" s="1" t="s">
        <v>67</v>
      </c>
      <c r="B490" s="1" t="s">
        <v>33</v>
      </c>
      <c r="C490" s="1" t="s">
        <v>6</v>
      </c>
      <c r="D490" s="1">
        <v>12</v>
      </c>
      <c r="E490" s="7"/>
      <c r="F490" s="8"/>
      <c r="G490" s="4">
        <v>44662</v>
      </c>
    </row>
    <row r="491" spans="1:7" x14ac:dyDescent="0.25">
      <c r="A491" s="1" t="s">
        <v>68</v>
      </c>
      <c r="B491" s="1" t="s">
        <v>35</v>
      </c>
      <c r="C491" s="1" t="s">
        <v>8</v>
      </c>
      <c r="D491" s="1">
        <v>23</v>
      </c>
      <c r="E491" s="7"/>
      <c r="F491" s="8"/>
      <c r="G491" s="4">
        <v>45260</v>
      </c>
    </row>
    <row r="492" spans="1:7" x14ac:dyDescent="0.25">
      <c r="A492" s="1" t="s">
        <v>65</v>
      </c>
      <c r="B492" s="1" t="s">
        <v>31</v>
      </c>
      <c r="C492" s="1" t="s">
        <v>6</v>
      </c>
      <c r="D492" s="1">
        <v>8</v>
      </c>
      <c r="E492" s="7"/>
      <c r="F492" s="8"/>
      <c r="G492" s="4">
        <v>44618</v>
      </c>
    </row>
    <row r="493" spans="1:7" x14ac:dyDescent="0.25">
      <c r="A493" s="1" t="s">
        <v>66</v>
      </c>
      <c r="B493" s="1" t="s">
        <v>33</v>
      </c>
      <c r="C493" s="1" t="s">
        <v>22</v>
      </c>
      <c r="D493" s="1">
        <v>19</v>
      </c>
      <c r="E493" s="7"/>
      <c r="F493" s="8"/>
      <c r="G493" s="4">
        <v>44917</v>
      </c>
    </row>
    <row r="494" spans="1:7" x14ac:dyDescent="0.25">
      <c r="A494" s="1" t="s">
        <v>67</v>
      </c>
      <c r="B494" s="1" t="s">
        <v>35</v>
      </c>
      <c r="C494" s="1" t="s">
        <v>6</v>
      </c>
      <c r="D494" s="1">
        <v>3</v>
      </c>
      <c r="E494" s="7"/>
      <c r="F494" s="8"/>
      <c r="G494" s="4">
        <v>45420</v>
      </c>
    </row>
    <row r="495" spans="1:7" x14ac:dyDescent="0.25">
      <c r="A495" s="1" t="s">
        <v>68</v>
      </c>
      <c r="B495" s="1" t="s">
        <v>31</v>
      </c>
      <c r="C495" s="1" t="s">
        <v>22</v>
      </c>
      <c r="D495" s="1">
        <v>9</v>
      </c>
      <c r="E495" s="7"/>
      <c r="F495" s="8"/>
      <c r="G495" s="4">
        <v>45317</v>
      </c>
    </row>
    <row r="496" spans="1:7" x14ac:dyDescent="0.25">
      <c r="A496" s="1" t="s">
        <v>65</v>
      </c>
      <c r="B496" s="1" t="s">
        <v>33</v>
      </c>
      <c r="C496" s="1" t="s">
        <v>6</v>
      </c>
      <c r="D496" s="1">
        <v>6</v>
      </c>
      <c r="E496" s="7"/>
      <c r="F496" s="8"/>
      <c r="G496" s="4">
        <v>45437</v>
      </c>
    </row>
    <row r="497" spans="1:7" x14ac:dyDescent="0.25">
      <c r="A497" s="1" t="s">
        <v>66</v>
      </c>
      <c r="B497" s="1" t="s">
        <v>35</v>
      </c>
      <c r="C497" s="1" t="s">
        <v>22</v>
      </c>
      <c r="D497" s="1">
        <v>21</v>
      </c>
      <c r="E497" s="7"/>
      <c r="F497" s="8"/>
      <c r="G497" s="4">
        <v>45521</v>
      </c>
    </row>
    <row r="498" spans="1:7" x14ac:dyDescent="0.25">
      <c r="A498" s="1" t="s">
        <v>67</v>
      </c>
      <c r="B498" s="1" t="s">
        <v>31</v>
      </c>
      <c r="C498" s="1" t="s">
        <v>6</v>
      </c>
      <c r="D498" s="1">
        <v>20</v>
      </c>
      <c r="E498" s="7"/>
      <c r="F498" s="8"/>
      <c r="G498" s="4">
        <v>45105</v>
      </c>
    </row>
    <row r="499" spans="1:7" x14ac:dyDescent="0.25">
      <c r="A499" s="1" t="s">
        <v>68</v>
      </c>
      <c r="B499" s="1" t="s">
        <v>33</v>
      </c>
      <c r="C499" s="1" t="s">
        <v>22</v>
      </c>
      <c r="D499" s="1">
        <v>5</v>
      </c>
      <c r="E499" s="7"/>
      <c r="F499" s="8"/>
      <c r="G499" s="4">
        <v>45238</v>
      </c>
    </row>
    <row r="500" spans="1:7" x14ac:dyDescent="0.25">
      <c r="A500" s="1" t="s">
        <v>65</v>
      </c>
      <c r="B500" s="1" t="s">
        <v>35</v>
      </c>
      <c r="C500" s="1" t="s">
        <v>6</v>
      </c>
      <c r="D500" s="1">
        <v>10</v>
      </c>
      <c r="E500" s="7"/>
      <c r="F500" s="8"/>
      <c r="G500" s="4">
        <v>44605</v>
      </c>
    </row>
  </sheetData>
  <mergeCells count="1">
    <mergeCell ref="I3:P5"/>
  </mergeCells>
  <conditionalFormatting sqref="M10:N16 L17:P18 M19:N21">
    <cfRule type="cellIs" dxfId="4" priority="4" operator="greaterThan">
      <formula>0</formula>
    </cfRule>
  </conditionalFormatting>
  <conditionalFormatting sqref="N28:N30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O10:O16 O19:O21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S28:S31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T32:T39">
    <cfRule type="cellIs" dxfId="3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293D-0FDA-40ED-9E5E-8889EDF1FF1D}">
  <dimension ref="A1:K16"/>
  <sheetViews>
    <sheetView zoomScale="115" zoomScaleNormal="115" workbookViewId="0"/>
  </sheetViews>
  <sheetFormatPr baseColWidth="10" defaultColWidth="11.5703125" defaultRowHeight="15" x14ac:dyDescent="0.25"/>
  <cols>
    <col min="1" max="7" width="11.5703125" style="11"/>
    <col min="8" max="8" width="6.42578125" style="11" customWidth="1"/>
    <col min="9" max="9" width="3.7109375" style="11" customWidth="1"/>
    <col min="10" max="10" width="7" style="11" customWidth="1"/>
    <col min="11" max="11" width="80.140625" style="11" bestFit="1" customWidth="1"/>
    <col min="12" max="16384" width="11.5703125" style="11"/>
  </cols>
  <sheetData>
    <row r="1" spans="1:11" x14ac:dyDescent="0.25">
      <c r="A1" s="10" t="s">
        <v>62</v>
      </c>
      <c r="B1" s="14">
        <f>+I16</f>
        <v>0</v>
      </c>
    </row>
    <row r="2" spans="1:11" x14ac:dyDescent="0.25">
      <c r="B2" s="11" t="s">
        <v>51</v>
      </c>
      <c r="C2" s="11" t="s">
        <v>52</v>
      </c>
      <c r="G2" s="11" t="s">
        <v>53</v>
      </c>
    </row>
    <row r="4" spans="1:11" x14ac:dyDescent="0.25">
      <c r="C4" s="39" t="s">
        <v>1</v>
      </c>
      <c r="D4" s="39" t="s">
        <v>2</v>
      </c>
      <c r="E4" s="39" t="s">
        <v>19</v>
      </c>
      <c r="F4" s="39" t="s">
        <v>3</v>
      </c>
      <c r="G4" s="39" t="s">
        <v>4</v>
      </c>
    </row>
    <row r="5" spans="1:11" ht="30" x14ac:dyDescent="0.25">
      <c r="C5" s="10" t="s">
        <v>18</v>
      </c>
      <c r="D5" s="10" t="s">
        <v>5</v>
      </c>
      <c r="E5" s="10" t="s">
        <v>20</v>
      </c>
      <c r="F5" s="13">
        <v>6728</v>
      </c>
      <c r="G5" s="10" t="s">
        <v>6</v>
      </c>
      <c r="I5" s="44"/>
      <c r="J5" s="45">
        <v>0.25</v>
      </c>
      <c r="K5" s="42" t="s">
        <v>111</v>
      </c>
    </row>
    <row r="6" spans="1:11" x14ac:dyDescent="0.25">
      <c r="C6" s="10" t="s">
        <v>9</v>
      </c>
      <c r="D6" s="10" t="s">
        <v>5</v>
      </c>
      <c r="E6" s="10" t="s">
        <v>20</v>
      </c>
      <c r="F6" s="13">
        <v>8505</v>
      </c>
      <c r="G6" s="10" t="s">
        <v>22</v>
      </c>
      <c r="I6" s="43"/>
      <c r="J6" s="43"/>
      <c r="K6" s="43"/>
    </row>
    <row r="7" spans="1:11" x14ac:dyDescent="0.25">
      <c r="C7" s="10" t="s">
        <v>10</v>
      </c>
      <c r="D7" s="10" t="s">
        <v>7</v>
      </c>
      <c r="E7" s="10" t="s">
        <v>114</v>
      </c>
      <c r="F7" s="13">
        <v>2992</v>
      </c>
      <c r="G7" s="10" t="s">
        <v>8</v>
      </c>
      <c r="I7" s="43"/>
      <c r="J7" s="43"/>
      <c r="K7" s="43"/>
    </row>
    <row r="8" spans="1:11" x14ac:dyDescent="0.25">
      <c r="C8" s="10" t="s">
        <v>11</v>
      </c>
      <c r="D8" s="10" t="s">
        <v>7</v>
      </c>
      <c r="E8" s="10" t="s">
        <v>20</v>
      </c>
      <c r="F8" s="13">
        <v>9239</v>
      </c>
      <c r="G8" s="10" t="s">
        <v>6</v>
      </c>
      <c r="I8" s="44"/>
      <c r="J8" s="45">
        <v>0.25</v>
      </c>
      <c r="K8" s="42" t="s">
        <v>112</v>
      </c>
    </row>
    <row r="9" spans="1:11" x14ac:dyDescent="0.25">
      <c r="C9" s="10" t="s">
        <v>9</v>
      </c>
      <c r="D9" s="10" t="s">
        <v>7</v>
      </c>
      <c r="E9" s="10" t="s">
        <v>21</v>
      </c>
      <c r="F9" s="13">
        <v>6902</v>
      </c>
      <c r="G9" s="10" t="s">
        <v>22</v>
      </c>
      <c r="I9" s="43"/>
      <c r="J9" s="43"/>
      <c r="K9" s="43"/>
    </row>
    <row r="10" spans="1:11" x14ac:dyDescent="0.25">
      <c r="C10" s="10" t="s">
        <v>12</v>
      </c>
      <c r="D10" s="10" t="s">
        <v>5</v>
      </c>
      <c r="E10" s="10" t="s">
        <v>21</v>
      </c>
      <c r="F10" s="13">
        <v>5541</v>
      </c>
      <c r="G10" s="10" t="s">
        <v>8</v>
      </c>
      <c r="I10" s="43"/>
      <c r="J10" s="43"/>
      <c r="K10" s="43"/>
    </row>
    <row r="11" spans="1:11" x14ac:dyDescent="0.25">
      <c r="C11" s="10" t="s">
        <v>13</v>
      </c>
      <c r="D11" s="10" t="s">
        <v>5</v>
      </c>
      <c r="E11" s="10" t="s">
        <v>21</v>
      </c>
      <c r="F11" s="13">
        <v>3289</v>
      </c>
      <c r="G11" s="10" t="s">
        <v>6</v>
      </c>
      <c r="I11" s="44"/>
      <c r="J11" s="45">
        <v>0.25</v>
      </c>
      <c r="K11" s="43" t="s">
        <v>54</v>
      </c>
    </row>
    <row r="12" spans="1:11" x14ac:dyDescent="0.25">
      <c r="C12" s="10" t="s">
        <v>14</v>
      </c>
      <c r="D12" s="10" t="s">
        <v>5</v>
      </c>
      <c r="E12" s="10" t="s">
        <v>56</v>
      </c>
      <c r="F12" s="13">
        <v>5825</v>
      </c>
      <c r="G12" s="10" t="s">
        <v>22</v>
      </c>
      <c r="I12" s="43"/>
      <c r="J12" s="43"/>
      <c r="K12" s="43"/>
    </row>
    <row r="13" spans="1:11" x14ac:dyDescent="0.25">
      <c r="C13" s="40" t="s">
        <v>15</v>
      </c>
      <c r="D13" s="40" t="s">
        <v>5</v>
      </c>
      <c r="E13" s="40" t="s">
        <v>20</v>
      </c>
      <c r="F13" s="41">
        <v>8826</v>
      </c>
      <c r="G13" s="40" t="s">
        <v>8</v>
      </c>
      <c r="I13" s="43"/>
      <c r="J13" s="43"/>
      <c r="K13" s="43"/>
    </row>
    <row r="14" spans="1:11" ht="30" x14ac:dyDescent="0.25">
      <c r="C14" s="10" t="s">
        <v>16</v>
      </c>
      <c r="D14" s="10" t="s">
        <v>5</v>
      </c>
      <c r="E14" s="10" t="s">
        <v>113</v>
      </c>
      <c r="F14" s="13">
        <v>6463</v>
      </c>
      <c r="G14" s="10" t="s">
        <v>6</v>
      </c>
      <c r="I14" s="44"/>
      <c r="J14" s="45">
        <v>0.25</v>
      </c>
      <c r="K14" s="42" t="s">
        <v>55</v>
      </c>
    </row>
    <row r="15" spans="1:11" x14ac:dyDescent="0.25">
      <c r="C15" s="10" t="s">
        <v>17</v>
      </c>
      <c r="D15" s="10" t="s">
        <v>7</v>
      </c>
      <c r="E15" s="10" t="s">
        <v>20</v>
      </c>
      <c r="F15" s="13">
        <v>7506</v>
      </c>
      <c r="G15" s="10" t="s">
        <v>22</v>
      </c>
      <c r="I15" s="43"/>
      <c r="J15" s="43"/>
    </row>
    <row r="16" spans="1:11" x14ac:dyDescent="0.25">
      <c r="C16" s="10" t="s">
        <v>11</v>
      </c>
      <c r="D16" s="10" t="s">
        <v>7</v>
      </c>
      <c r="E16" s="10" t="s">
        <v>20</v>
      </c>
      <c r="F16" s="13">
        <v>2077</v>
      </c>
      <c r="G16" s="10" t="s">
        <v>8</v>
      </c>
      <c r="I16" s="44">
        <f>SUM(I5,I8,I11,I14)</f>
        <v>0</v>
      </c>
      <c r="J16" s="43"/>
    </row>
  </sheetData>
  <sheetProtection selectLockedCells="1"/>
  <conditionalFormatting sqref="E5:E16">
    <cfRule type="expression" dxfId="2" priority="3">
      <formula>IF(E5="MADRID",G5="SUR")</formula>
    </cfRule>
  </conditionalFormatting>
  <conditionalFormatting sqref="C5:C16">
    <cfRule type="beginsWith" dxfId="1" priority="2" operator="beginsWith" text="M">
      <formula>LEFT(C5,LEN("M"))="M"</formula>
    </cfRule>
  </conditionalFormatting>
  <conditionalFormatting sqref="G5:G16">
    <cfRule type="cellIs" dxfId="0" priority="1" operator="equal">
      <formula>$G$5</formula>
    </cfRule>
  </conditionalFormatting>
  <dataValidations count="3">
    <dataValidation type="custom" allowBlank="1" showInputMessage="1" showErrorMessage="1" sqref="E20" xr:uid="{96481C89-E187-4618-9B40-AC70882CE5C8}">
      <formula1>IF(E4="MADRID",OR(E4="BARCELONA"))</formula1>
    </dataValidation>
    <dataValidation type="custom" allowBlank="1" showInputMessage="1" showErrorMessage="1" errorTitle="Texto" error="La población solo puede ser Madrid o Barcelona" promptTitle="Texto" prompt="La población solo puede ser Madrid o Barcelona" sqref="E4" xr:uid="{21A9D33C-74CA-4A14-9368-E9F3C5B6569C}">
      <formula1>IF(E5:E16="MADRID",OR(E5:E16="BARCELONA"))</formula1>
    </dataValidation>
    <dataValidation type="custom" allowBlank="1" showDropDown="1" showInputMessage="1" showErrorMessage="1" errorTitle="Texto" error="La población solo puede ser Madrid o Barcelona" promptTitle="Texto" prompt="La población solo puede ser Madrid o Barcelona" sqref="E5:E16" xr:uid="{8DDE6784-82C6-4BCA-9C22-9B0C4F4357A7}">
      <formula1>IF(E6:E17="MADRID",OR(E6:E17="BARCELONA"))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9E2C-DD24-4689-8938-FD22DBA09C6C}">
  <dimension ref="A1:L20"/>
  <sheetViews>
    <sheetView tabSelected="1" topLeftCell="C3" zoomScale="220" zoomScaleNormal="220" workbookViewId="0">
      <selection activeCell="F6" sqref="F6"/>
    </sheetView>
  </sheetViews>
  <sheetFormatPr baseColWidth="10" defaultColWidth="11.5703125" defaultRowHeight="15" x14ac:dyDescent="0.25"/>
  <cols>
    <col min="1" max="1" width="11.5703125" style="11"/>
    <col min="2" max="2" width="43" style="11" bestFit="1" customWidth="1"/>
    <col min="3" max="3" width="22.28515625" style="11" customWidth="1"/>
    <col min="4" max="4" width="11.140625" style="11" bestFit="1" customWidth="1"/>
    <col min="5" max="5" width="43.5703125" style="11" bestFit="1" customWidth="1"/>
    <col min="6" max="6" width="11.5703125" style="11"/>
    <col min="7" max="7" width="25.140625" style="11" bestFit="1" customWidth="1"/>
    <col min="8" max="8" width="4.140625" style="11" customWidth="1"/>
    <col min="9" max="9" width="17.7109375" style="11" bestFit="1" customWidth="1"/>
    <col min="10" max="16384" width="11.5703125" style="11"/>
  </cols>
  <sheetData>
    <row r="1" spans="1:12" x14ac:dyDescent="0.25">
      <c r="A1" s="10" t="s">
        <v>62</v>
      </c>
      <c r="B1" s="14">
        <f>+J8</f>
        <v>0</v>
      </c>
      <c r="C1" s="11" t="s">
        <v>123</v>
      </c>
    </row>
    <row r="2" spans="1:12" x14ac:dyDescent="0.25">
      <c r="B2" s="11" t="s">
        <v>51</v>
      </c>
      <c r="C2" s="11" t="s">
        <v>121</v>
      </c>
    </row>
    <row r="4" spans="1:12" x14ac:dyDescent="0.25">
      <c r="B4" s="10"/>
      <c r="C4" s="10" t="s">
        <v>147</v>
      </c>
      <c r="D4" s="10" t="s">
        <v>146</v>
      </c>
      <c r="E4" s="10" t="s">
        <v>39</v>
      </c>
      <c r="F4" s="10" t="s">
        <v>37</v>
      </c>
      <c r="G4" s="10" t="s">
        <v>38</v>
      </c>
      <c r="I4" s="10">
        <v>1</v>
      </c>
      <c r="J4" s="15"/>
      <c r="K4" s="10" t="s">
        <v>128</v>
      </c>
      <c r="L4" s="10">
        <v>0.25</v>
      </c>
    </row>
    <row r="5" spans="1:12" x14ac:dyDescent="0.25">
      <c r="B5" s="10" t="s">
        <v>130</v>
      </c>
      <c r="C5" s="10">
        <f>LEN(B5)</f>
        <v>41</v>
      </c>
      <c r="D5" s="10">
        <f>FIND(",",B5)</f>
        <v>6</v>
      </c>
      <c r="E5" s="46" t="str">
        <f>RIGHT(B5,C5-D15+11-D5+13)</f>
        <v>LOPEZ, GONZALEZ, SARA ALEJANDRA,666666661</v>
      </c>
      <c r="F5" s="46"/>
      <c r="G5" s="10" t="str">
        <f>RIGHT(B5,C5-D15-10-D5-8)</f>
        <v>666666661</v>
      </c>
      <c r="I5" s="10">
        <v>2</v>
      </c>
      <c r="J5" s="15"/>
      <c r="K5" s="10" t="s">
        <v>129</v>
      </c>
      <c r="L5" s="10">
        <v>0.5</v>
      </c>
    </row>
    <row r="6" spans="1:12" x14ac:dyDescent="0.25">
      <c r="B6" s="10" t="s">
        <v>131</v>
      </c>
      <c r="C6" s="10">
        <f>LEN(B6)</f>
        <v>30</v>
      </c>
      <c r="D6" s="10">
        <f t="shared" ref="D6:D18" si="0">FIND(",",B6)</f>
        <v>6</v>
      </c>
      <c r="E6" s="46" t="str">
        <f t="shared" ref="E6:E18" si="1">RIGHT(B6,C6-D16+11-D6+13)</f>
        <v>AHMED, MONNE, MARCOS,666666662</v>
      </c>
      <c r="F6" s="10"/>
      <c r="G6" s="10" t="str">
        <f>RIGHT(B6,C6-D16-1-D6-7)</f>
        <v>666666662</v>
      </c>
      <c r="I6" s="10">
        <v>3</v>
      </c>
      <c r="J6" s="15"/>
      <c r="K6" s="10" t="s">
        <v>38</v>
      </c>
      <c r="L6" s="10">
        <v>0.25</v>
      </c>
    </row>
    <row r="7" spans="1:12" x14ac:dyDescent="0.25">
      <c r="B7" s="10" t="s">
        <v>132</v>
      </c>
      <c r="C7" s="10">
        <f t="shared" ref="C6:C18" si="2">LEN(B7)</f>
        <v>33</v>
      </c>
      <c r="D7" s="10">
        <f t="shared" si="0"/>
        <v>7</v>
      </c>
      <c r="E7" s="46" t="str">
        <f t="shared" si="1"/>
        <v>GARCIA, SERRANO, MARCOS,666666663</v>
      </c>
      <c r="F7" s="10"/>
      <c r="G7" s="10" t="str">
        <f>RIGHT(B7,C7-D17-1-D7-8)</f>
        <v>666666663</v>
      </c>
      <c r="I7" s="10">
        <v>4</v>
      </c>
      <c r="J7" s="15"/>
      <c r="K7" s="10" t="s">
        <v>144</v>
      </c>
      <c r="L7" s="10">
        <v>0.5</v>
      </c>
    </row>
    <row r="8" spans="1:12" x14ac:dyDescent="0.25">
      <c r="B8" s="10" t="s">
        <v>133</v>
      </c>
      <c r="C8" s="10">
        <f t="shared" si="2"/>
        <v>32</v>
      </c>
      <c r="D8" s="10">
        <f t="shared" si="0"/>
        <v>7</v>
      </c>
      <c r="E8" s="46" t="str">
        <f t="shared" si="1"/>
        <v>GARCIA, LAPEÑA, DANIEL,666666664</v>
      </c>
      <c r="F8" s="10"/>
      <c r="G8" s="10" t="str">
        <f>RIGHT(B8,C8-D18-1-D8-8)</f>
        <v>666666664</v>
      </c>
      <c r="J8" s="15">
        <f>SUM(J4:J7)</f>
        <v>0</v>
      </c>
    </row>
    <row r="9" spans="1:12" x14ac:dyDescent="0.25">
      <c r="B9" s="10" t="s">
        <v>134</v>
      </c>
      <c r="C9" s="10">
        <f t="shared" si="2"/>
        <v>35</v>
      </c>
      <c r="D9" s="10">
        <f t="shared" si="0"/>
        <v>6</v>
      </c>
      <c r="E9" s="46" t="str">
        <f t="shared" si="1"/>
        <v>CONDE, MORALES, ALEJANDRO,666666665</v>
      </c>
      <c r="F9" s="10"/>
      <c r="G9" s="10" t="str">
        <f>RIGHT(B9,C9-D19-12-D9-8)</f>
        <v>666666665</v>
      </c>
    </row>
    <row r="10" spans="1:12" x14ac:dyDescent="0.25">
      <c r="B10" s="10" t="s">
        <v>135</v>
      </c>
      <c r="C10" s="10">
        <f t="shared" si="2"/>
        <v>38</v>
      </c>
      <c r="D10" s="10">
        <f t="shared" si="0"/>
        <v>8</v>
      </c>
      <c r="E10" s="46" t="str">
        <f t="shared" si="1"/>
        <v>LABRADA, ORTEGA, LUIS MIGUEL,666666666</v>
      </c>
      <c r="F10" s="10"/>
      <c r="G10" s="10" t="str">
        <f>RIGHT(B10,C10-D20-12-D10-2)</f>
        <v>666666666</v>
      </c>
    </row>
    <row r="11" spans="1:12" x14ac:dyDescent="0.25">
      <c r="B11" s="10" t="s">
        <v>136</v>
      </c>
      <c r="C11" s="10">
        <f t="shared" si="2"/>
        <v>37</v>
      </c>
      <c r="D11" s="10">
        <f t="shared" si="0"/>
        <v>7</v>
      </c>
      <c r="E11" s="46" t="str">
        <f t="shared" si="1"/>
        <v>BELTRE, CARMONA, LUIS ANGEL,666666667</v>
      </c>
      <c r="F11" s="10"/>
      <c r="G11" s="10" t="str">
        <f>RIGHT(B11,C11-D21-12-D11-9)</f>
        <v>666666667</v>
      </c>
    </row>
    <row r="12" spans="1:12" x14ac:dyDescent="0.25">
      <c r="B12" s="10" t="s">
        <v>137</v>
      </c>
      <c r="C12" s="10">
        <f t="shared" si="2"/>
        <v>31</v>
      </c>
      <c r="D12" s="10">
        <f t="shared" si="0"/>
        <v>6</v>
      </c>
      <c r="E12" s="46" t="str">
        <f t="shared" si="1"/>
        <v>MUÑOZ, ZORRO, ROBERTO,666666668</v>
      </c>
      <c r="F12" s="10"/>
      <c r="G12" s="10" t="str">
        <f>RIGHT(B12,C12-D22-10-D12-6)</f>
        <v>666666668</v>
      </c>
    </row>
    <row r="13" spans="1:12" x14ac:dyDescent="0.25">
      <c r="B13" s="10" t="s">
        <v>138</v>
      </c>
      <c r="C13" s="10">
        <f t="shared" si="2"/>
        <v>38</v>
      </c>
      <c r="D13" s="10">
        <f t="shared" si="0"/>
        <v>8</v>
      </c>
      <c r="E13" s="46" t="str">
        <f t="shared" si="1"/>
        <v>TEXEIRA, BARBA, JOSE ANTONIO,666666669</v>
      </c>
      <c r="F13" s="10"/>
      <c r="G13" s="10" t="str">
        <f>RIGHT(B13,C13-D23-10-D13-11)</f>
        <v>666666669</v>
      </c>
    </row>
    <row r="14" spans="1:12" x14ac:dyDescent="0.25">
      <c r="B14" s="10" t="s">
        <v>139</v>
      </c>
      <c r="C14" s="10">
        <f t="shared" si="2"/>
        <v>38</v>
      </c>
      <c r="D14" s="10">
        <f t="shared" si="0"/>
        <v>9</v>
      </c>
      <c r="E14" s="46" t="str">
        <f t="shared" si="1"/>
        <v>CARDENAS, RODRIGUEZ, NICOLAS,666666670</v>
      </c>
      <c r="F14" s="10"/>
      <c r="G14" s="10" t="str">
        <f>RIGHT(B14,C14-D24-10-D14-10)</f>
        <v>666666670</v>
      </c>
    </row>
    <row r="15" spans="1:12" x14ac:dyDescent="0.25">
      <c r="B15" s="10" t="s">
        <v>140</v>
      </c>
      <c r="C15" s="10">
        <f t="shared" si="2"/>
        <v>33</v>
      </c>
      <c r="D15" s="10">
        <f t="shared" si="0"/>
        <v>8</v>
      </c>
      <c r="E15" s="46" t="str">
        <f t="shared" si="1"/>
        <v>SOBRINO, ARRIBAS, CESAR,666666671</v>
      </c>
      <c r="F15" s="10"/>
      <c r="G15" s="10" t="str">
        <f>RIGHT(B15,C15-D25-10-D15-6)</f>
        <v>666666671</v>
      </c>
    </row>
    <row r="16" spans="1:12" x14ac:dyDescent="0.25">
      <c r="B16" s="10" t="s">
        <v>141</v>
      </c>
      <c r="C16" s="10">
        <f t="shared" si="2"/>
        <v>33</v>
      </c>
      <c r="D16" s="10">
        <f t="shared" si="0"/>
        <v>7</v>
      </c>
      <c r="E16" s="46" t="str">
        <f t="shared" si="1"/>
        <v>TORRES, MARTINEZ, MARIA,666666672</v>
      </c>
      <c r="F16" s="10"/>
      <c r="G16" s="10" t="str">
        <f>RIGHT(B16,C16-D26-10-D16-7)</f>
        <v>666666672</v>
      </c>
    </row>
    <row r="17" spans="2:7" x14ac:dyDescent="0.25">
      <c r="B17" s="10" t="s">
        <v>142</v>
      </c>
      <c r="C17" s="10">
        <f t="shared" si="2"/>
        <v>33</v>
      </c>
      <c r="D17" s="10">
        <f t="shared" si="0"/>
        <v>8</v>
      </c>
      <c r="E17" s="46" t="str">
        <f t="shared" si="1"/>
        <v>NAVARRO, VALLEJO, MARIO,666666673</v>
      </c>
      <c r="F17" s="10"/>
      <c r="G17" s="10" t="str">
        <f>RIGHT(B17,C17-D27-10-D17-6)</f>
        <v>666666673</v>
      </c>
    </row>
    <row r="18" spans="2:7" x14ac:dyDescent="0.25">
      <c r="B18" s="10" t="s">
        <v>143</v>
      </c>
      <c r="C18" s="10">
        <f t="shared" si="2"/>
        <v>34</v>
      </c>
      <c r="D18" s="10">
        <f t="shared" si="0"/>
        <v>7</v>
      </c>
      <c r="E18" s="46" t="str">
        <f t="shared" si="1"/>
        <v>OCHOVO, QUERO, ALEJANDRO,666666674</v>
      </c>
      <c r="F18" s="10"/>
      <c r="G18" s="10" t="str">
        <f t="shared" ref="G6:G18" si="3">RIGHT(B18,C18-D28-10-D18-8)</f>
        <v>666666674</v>
      </c>
    </row>
    <row r="20" spans="2:7" x14ac:dyDescent="0.25">
      <c r="B20" s="11" t="s">
        <v>148</v>
      </c>
      <c r="C20" s="11">
        <f>LEN(B20)</f>
        <v>16</v>
      </c>
      <c r="D20" s="11">
        <f>FIND(",",B20)</f>
        <v>7</v>
      </c>
    </row>
  </sheetData>
  <sheetProtection selectLockedCells="1"/>
  <pageMargins left="0.7" right="0.7" top="0.75" bottom="0.75" header="0.3" footer="0.3"/>
  <ignoredErrors>
    <ignoredError sqref="C5" unlocked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E384-AD46-4BBA-8B7C-896F41CFDE62}">
  <sheetPr filterMode="1"/>
  <dimension ref="A1:K38"/>
  <sheetViews>
    <sheetView workbookViewId="0"/>
  </sheetViews>
  <sheetFormatPr baseColWidth="10" defaultColWidth="11.5703125" defaultRowHeight="15" x14ac:dyDescent="0.25"/>
  <cols>
    <col min="1" max="1" width="9" style="11" bestFit="1" customWidth="1"/>
    <col min="2" max="2" width="12.42578125" style="11" bestFit="1" customWidth="1"/>
    <col min="3" max="3" width="17.85546875" style="11" customWidth="1"/>
    <col min="4" max="4" width="10.28515625" style="11" bestFit="1" customWidth="1"/>
    <col min="5" max="5" width="8" style="11" bestFit="1" customWidth="1"/>
    <col min="6" max="6" width="9.5703125" style="11" bestFit="1" customWidth="1"/>
    <col min="7" max="7" width="18.5703125" style="11" bestFit="1" customWidth="1"/>
    <col min="8" max="8" width="11.5703125" style="11"/>
    <col min="9" max="9" width="3.85546875" style="11" customWidth="1"/>
    <col min="10" max="10" width="10" style="11" bestFit="1" customWidth="1"/>
    <col min="11" max="11" width="48.7109375" style="11" customWidth="1"/>
    <col min="12" max="16384" width="11.5703125" style="11"/>
  </cols>
  <sheetData>
    <row r="1" spans="1:11" x14ac:dyDescent="0.25">
      <c r="A1" s="10" t="s">
        <v>62</v>
      </c>
      <c r="B1" s="14">
        <f>+I4</f>
        <v>0</v>
      </c>
    </row>
    <row r="2" spans="1:11" x14ac:dyDescent="0.25">
      <c r="B2" s="11" t="s">
        <v>51</v>
      </c>
      <c r="C2" s="11" t="s">
        <v>122</v>
      </c>
    </row>
    <row r="3" spans="1:11" ht="45" x14ac:dyDescent="0.25">
      <c r="K3" s="38" t="s">
        <v>60</v>
      </c>
    </row>
    <row r="4" spans="1:11" x14ac:dyDescent="0.25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I4" s="15"/>
      <c r="J4" s="32" t="s">
        <v>51</v>
      </c>
    </row>
    <row r="5" spans="1:11" x14ac:dyDescent="0.25">
      <c r="A5" s="17" t="s">
        <v>30</v>
      </c>
      <c r="B5" s="17" t="s">
        <v>31</v>
      </c>
      <c r="C5" s="17" t="s">
        <v>6</v>
      </c>
      <c r="D5" s="18">
        <v>10</v>
      </c>
      <c r="E5" s="18">
        <v>399</v>
      </c>
      <c r="F5" s="18">
        <f>D5*E5</f>
        <v>3990</v>
      </c>
      <c r="G5" s="19">
        <v>43664</v>
      </c>
      <c r="H5" s="20"/>
      <c r="I5" s="20"/>
      <c r="J5" s="20"/>
    </row>
    <row r="6" spans="1:11" hidden="1" x14ac:dyDescent="0.25">
      <c r="A6" s="17" t="s">
        <v>32</v>
      </c>
      <c r="B6" s="17" t="s">
        <v>33</v>
      </c>
      <c r="C6" s="17" t="s">
        <v>22</v>
      </c>
      <c r="D6" s="18">
        <v>12</v>
      </c>
      <c r="E6" s="18">
        <v>299</v>
      </c>
      <c r="F6" s="18">
        <f t="shared" ref="F6:F38" si="0">D6*E6</f>
        <v>3588</v>
      </c>
      <c r="G6" s="19">
        <v>43528</v>
      </c>
    </row>
    <row r="7" spans="1:11" hidden="1" x14ac:dyDescent="0.25">
      <c r="A7" s="17" t="s">
        <v>34</v>
      </c>
      <c r="B7" s="17" t="s">
        <v>35</v>
      </c>
      <c r="C7" s="17" t="s">
        <v>6</v>
      </c>
      <c r="D7" s="18">
        <v>14</v>
      </c>
      <c r="E7" s="18">
        <v>99</v>
      </c>
      <c r="F7" s="18">
        <f t="shared" si="0"/>
        <v>1386</v>
      </c>
      <c r="G7" s="19">
        <v>43668</v>
      </c>
    </row>
    <row r="8" spans="1:11" hidden="1" x14ac:dyDescent="0.25">
      <c r="A8" s="17" t="s">
        <v>36</v>
      </c>
      <c r="B8" s="17" t="s">
        <v>31</v>
      </c>
      <c r="C8" s="17" t="s">
        <v>22</v>
      </c>
      <c r="D8" s="18">
        <v>16</v>
      </c>
      <c r="E8" s="18">
        <v>399</v>
      </c>
      <c r="F8" s="18">
        <f t="shared" si="0"/>
        <v>6384</v>
      </c>
      <c r="G8" s="19">
        <v>43706</v>
      </c>
    </row>
    <row r="9" spans="1:11" hidden="1" x14ac:dyDescent="0.25">
      <c r="A9" s="17" t="s">
        <v>30</v>
      </c>
      <c r="B9" s="17" t="s">
        <v>33</v>
      </c>
      <c r="C9" s="17" t="s">
        <v>6</v>
      </c>
      <c r="D9" s="18">
        <v>18</v>
      </c>
      <c r="E9" s="18">
        <v>299</v>
      </c>
      <c r="F9" s="18">
        <f t="shared" si="0"/>
        <v>5382</v>
      </c>
      <c r="G9" s="19">
        <v>43594</v>
      </c>
    </row>
    <row r="10" spans="1:11" hidden="1" x14ac:dyDescent="0.25">
      <c r="A10" s="17" t="s">
        <v>32</v>
      </c>
      <c r="B10" s="17" t="s">
        <v>35</v>
      </c>
      <c r="C10" s="17" t="s">
        <v>22</v>
      </c>
      <c r="D10" s="18">
        <v>20</v>
      </c>
      <c r="E10" s="18">
        <v>99</v>
      </c>
      <c r="F10" s="18">
        <f t="shared" si="0"/>
        <v>1980</v>
      </c>
      <c r="G10" s="19">
        <v>43746</v>
      </c>
    </row>
    <row r="11" spans="1:11" hidden="1" x14ac:dyDescent="0.25">
      <c r="A11" s="17" t="s">
        <v>34</v>
      </c>
      <c r="B11" s="17" t="s">
        <v>31</v>
      </c>
      <c r="C11" s="17" t="s">
        <v>6</v>
      </c>
      <c r="D11" s="18">
        <v>22</v>
      </c>
      <c r="E11" s="18">
        <v>399</v>
      </c>
      <c r="F11" s="18">
        <f t="shared" si="0"/>
        <v>8778</v>
      </c>
      <c r="G11" s="19">
        <v>43693</v>
      </c>
    </row>
    <row r="12" spans="1:11" hidden="1" x14ac:dyDescent="0.25">
      <c r="A12" s="17" t="s">
        <v>36</v>
      </c>
      <c r="B12" s="17" t="s">
        <v>33</v>
      </c>
      <c r="C12" s="17" t="s">
        <v>22</v>
      </c>
      <c r="D12" s="18">
        <v>24</v>
      </c>
      <c r="E12" s="18">
        <v>299</v>
      </c>
      <c r="F12" s="18">
        <f t="shared" si="0"/>
        <v>7176</v>
      </c>
      <c r="G12" s="19">
        <v>43688</v>
      </c>
    </row>
    <row r="13" spans="1:11" hidden="1" x14ac:dyDescent="0.25">
      <c r="A13" s="17" t="s">
        <v>30</v>
      </c>
      <c r="B13" s="17" t="s">
        <v>35</v>
      </c>
      <c r="C13" s="17" t="s">
        <v>6</v>
      </c>
      <c r="D13" s="18">
        <v>10</v>
      </c>
      <c r="E13" s="18">
        <v>99</v>
      </c>
      <c r="F13" s="18">
        <f t="shared" si="0"/>
        <v>990</v>
      </c>
      <c r="G13" s="19">
        <v>43481</v>
      </c>
    </row>
    <row r="14" spans="1:11" hidden="1" x14ac:dyDescent="0.25">
      <c r="A14" s="17" t="s">
        <v>32</v>
      </c>
      <c r="B14" s="17" t="s">
        <v>31</v>
      </c>
      <c r="C14" s="17" t="s">
        <v>22</v>
      </c>
      <c r="D14" s="18">
        <v>12</v>
      </c>
      <c r="E14" s="18">
        <v>399</v>
      </c>
      <c r="F14" s="18">
        <f t="shared" si="0"/>
        <v>4788</v>
      </c>
      <c r="G14" s="19">
        <v>43770</v>
      </c>
    </row>
    <row r="15" spans="1:11" hidden="1" x14ac:dyDescent="0.25">
      <c r="A15" s="17" t="s">
        <v>34</v>
      </c>
      <c r="B15" s="17" t="s">
        <v>33</v>
      </c>
      <c r="C15" s="17" t="s">
        <v>6</v>
      </c>
      <c r="D15" s="18">
        <v>14</v>
      </c>
      <c r="E15" s="18">
        <v>299</v>
      </c>
      <c r="F15" s="18">
        <f t="shared" si="0"/>
        <v>4186</v>
      </c>
      <c r="G15" s="19">
        <v>43722</v>
      </c>
    </row>
    <row r="16" spans="1:11" x14ac:dyDescent="0.25">
      <c r="A16" s="17" t="s">
        <v>36</v>
      </c>
      <c r="B16" s="17" t="s">
        <v>35</v>
      </c>
      <c r="C16" s="17" t="s">
        <v>22</v>
      </c>
      <c r="D16" s="18">
        <v>16</v>
      </c>
      <c r="E16" s="18">
        <v>99</v>
      </c>
      <c r="F16" s="18">
        <f t="shared" si="0"/>
        <v>1584</v>
      </c>
      <c r="G16" s="19">
        <v>43578</v>
      </c>
    </row>
    <row r="17" spans="1:7" hidden="1" x14ac:dyDescent="0.25">
      <c r="A17" s="17" t="s">
        <v>30</v>
      </c>
      <c r="B17" s="17" t="s">
        <v>31</v>
      </c>
      <c r="C17" s="17" t="s">
        <v>6</v>
      </c>
      <c r="D17" s="18">
        <v>18</v>
      </c>
      <c r="E17" s="18">
        <v>399</v>
      </c>
      <c r="F17" s="18">
        <f t="shared" si="0"/>
        <v>7182</v>
      </c>
      <c r="G17" s="19">
        <v>43701</v>
      </c>
    </row>
    <row r="18" spans="1:7" hidden="1" x14ac:dyDescent="0.25">
      <c r="A18" s="17" t="s">
        <v>32</v>
      </c>
      <c r="B18" s="17" t="s">
        <v>33</v>
      </c>
      <c r="C18" s="17" t="s">
        <v>22</v>
      </c>
      <c r="D18" s="18">
        <v>20</v>
      </c>
      <c r="E18" s="18">
        <v>299</v>
      </c>
      <c r="F18" s="18">
        <f t="shared" si="0"/>
        <v>5980</v>
      </c>
      <c r="G18" s="19">
        <v>43598</v>
      </c>
    </row>
    <row r="19" spans="1:7" hidden="1" x14ac:dyDescent="0.25">
      <c r="A19" s="17" t="s">
        <v>34</v>
      </c>
      <c r="B19" s="17" t="s">
        <v>35</v>
      </c>
      <c r="C19" s="17" t="s">
        <v>6</v>
      </c>
      <c r="D19" s="18">
        <v>22</v>
      </c>
      <c r="E19" s="18">
        <v>99</v>
      </c>
      <c r="F19" s="18">
        <f t="shared" si="0"/>
        <v>2178</v>
      </c>
      <c r="G19" s="19">
        <v>43548</v>
      </c>
    </row>
    <row r="20" spans="1:7" hidden="1" x14ac:dyDescent="0.25">
      <c r="A20" s="17" t="s">
        <v>36</v>
      </c>
      <c r="B20" s="17" t="s">
        <v>31</v>
      </c>
      <c r="C20" s="17" t="s">
        <v>22</v>
      </c>
      <c r="D20" s="18">
        <v>24</v>
      </c>
      <c r="E20" s="18">
        <v>399</v>
      </c>
      <c r="F20" s="18">
        <f t="shared" si="0"/>
        <v>9576</v>
      </c>
      <c r="G20" s="19">
        <v>43688</v>
      </c>
    </row>
    <row r="21" spans="1:7" x14ac:dyDescent="0.25">
      <c r="A21" s="17" t="s">
        <v>30</v>
      </c>
      <c r="B21" s="17" t="s">
        <v>33</v>
      </c>
      <c r="C21" s="17" t="s">
        <v>6</v>
      </c>
      <c r="D21" s="18">
        <v>10</v>
      </c>
      <c r="E21" s="18">
        <v>299</v>
      </c>
      <c r="F21" s="18">
        <f t="shared" si="0"/>
        <v>2990</v>
      </c>
      <c r="G21" s="19">
        <v>43582</v>
      </c>
    </row>
    <row r="22" spans="1:7" hidden="1" x14ac:dyDescent="0.25">
      <c r="A22" s="17" t="s">
        <v>32</v>
      </c>
      <c r="B22" s="17" t="s">
        <v>35</v>
      </c>
      <c r="C22" s="17" t="s">
        <v>22</v>
      </c>
      <c r="D22" s="18">
        <v>12</v>
      </c>
      <c r="E22" s="18">
        <v>99</v>
      </c>
      <c r="F22" s="18">
        <f t="shared" si="0"/>
        <v>1188</v>
      </c>
      <c r="G22" s="19">
        <v>43489</v>
      </c>
    </row>
    <row r="23" spans="1:7" hidden="1" x14ac:dyDescent="0.25">
      <c r="A23" s="17" t="s">
        <v>34</v>
      </c>
      <c r="B23" s="17" t="s">
        <v>31</v>
      </c>
      <c r="C23" s="17" t="s">
        <v>6</v>
      </c>
      <c r="D23" s="18">
        <v>14</v>
      </c>
      <c r="E23" s="18">
        <v>399</v>
      </c>
      <c r="F23" s="18">
        <f t="shared" si="0"/>
        <v>5586</v>
      </c>
      <c r="G23" s="19">
        <v>43482</v>
      </c>
    </row>
    <row r="24" spans="1:7" hidden="1" x14ac:dyDescent="0.25">
      <c r="A24" s="17" t="s">
        <v>36</v>
      </c>
      <c r="B24" s="17" t="s">
        <v>33</v>
      </c>
      <c r="C24" s="17" t="s">
        <v>22</v>
      </c>
      <c r="D24" s="18">
        <v>16</v>
      </c>
      <c r="E24" s="18">
        <v>299</v>
      </c>
      <c r="F24" s="18">
        <f t="shared" si="0"/>
        <v>4784</v>
      </c>
      <c r="G24" s="19">
        <v>43676</v>
      </c>
    </row>
    <row r="25" spans="1:7" x14ac:dyDescent="0.25">
      <c r="A25" s="17" t="s">
        <v>30</v>
      </c>
      <c r="B25" s="17" t="s">
        <v>35</v>
      </c>
      <c r="C25" s="17" t="s">
        <v>6</v>
      </c>
      <c r="D25" s="18">
        <v>18</v>
      </c>
      <c r="E25" s="18">
        <v>99</v>
      </c>
      <c r="F25" s="18">
        <f t="shared" si="0"/>
        <v>1782</v>
      </c>
      <c r="G25" s="19">
        <v>43743</v>
      </c>
    </row>
    <row r="26" spans="1:7" hidden="1" x14ac:dyDescent="0.25">
      <c r="A26" s="17" t="s">
        <v>32</v>
      </c>
      <c r="B26" s="17" t="s">
        <v>31</v>
      </c>
      <c r="C26" s="17" t="s">
        <v>22</v>
      </c>
      <c r="D26" s="18">
        <v>20</v>
      </c>
      <c r="E26" s="18">
        <v>399</v>
      </c>
      <c r="F26" s="18">
        <f t="shared" si="0"/>
        <v>7980</v>
      </c>
      <c r="G26" s="19">
        <v>43605</v>
      </c>
    </row>
    <row r="27" spans="1:7" hidden="1" x14ac:dyDescent="0.25">
      <c r="A27" s="17" t="s">
        <v>34</v>
      </c>
      <c r="B27" s="17" t="s">
        <v>33</v>
      </c>
      <c r="C27" s="17" t="s">
        <v>6</v>
      </c>
      <c r="D27" s="18">
        <v>22</v>
      </c>
      <c r="E27" s="18">
        <v>299</v>
      </c>
      <c r="F27" s="18">
        <f t="shared" si="0"/>
        <v>6578</v>
      </c>
      <c r="G27" s="19">
        <v>43535</v>
      </c>
    </row>
    <row r="28" spans="1:7" x14ac:dyDescent="0.25">
      <c r="A28" s="17" t="s">
        <v>36</v>
      </c>
      <c r="B28" s="17" t="s">
        <v>35</v>
      </c>
      <c r="C28" s="17" t="s">
        <v>22</v>
      </c>
      <c r="D28" s="18">
        <v>24</v>
      </c>
      <c r="E28" s="18">
        <v>99</v>
      </c>
      <c r="F28" s="18">
        <f t="shared" si="0"/>
        <v>2376</v>
      </c>
      <c r="G28" s="19">
        <v>43506</v>
      </c>
    </row>
    <row r="29" spans="1:7" x14ac:dyDescent="0.25">
      <c r="A29" s="17" t="s">
        <v>30</v>
      </c>
      <c r="B29" s="17" t="s">
        <v>31</v>
      </c>
      <c r="C29" s="17" t="s">
        <v>6</v>
      </c>
      <c r="D29" s="18">
        <v>10</v>
      </c>
      <c r="E29" s="18">
        <v>399</v>
      </c>
      <c r="F29" s="18">
        <f t="shared" si="0"/>
        <v>3990</v>
      </c>
      <c r="G29" s="19">
        <v>43592</v>
      </c>
    </row>
    <row r="30" spans="1:7" hidden="1" x14ac:dyDescent="0.25">
      <c r="A30" s="17" t="s">
        <v>32</v>
      </c>
      <c r="B30" s="17" t="s">
        <v>33</v>
      </c>
      <c r="C30" s="17" t="s">
        <v>22</v>
      </c>
      <c r="D30" s="18">
        <v>12</v>
      </c>
      <c r="E30" s="18">
        <v>299</v>
      </c>
      <c r="F30" s="18">
        <f t="shared" si="0"/>
        <v>3588</v>
      </c>
      <c r="G30" s="19">
        <v>43560</v>
      </c>
    </row>
    <row r="31" spans="1:7" hidden="1" x14ac:dyDescent="0.25">
      <c r="A31" s="17" t="s">
        <v>34</v>
      </c>
      <c r="B31" s="17" t="s">
        <v>35</v>
      </c>
      <c r="C31" s="17" t="s">
        <v>6</v>
      </c>
      <c r="D31" s="18">
        <v>14</v>
      </c>
      <c r="E31" s="18">
        <v>99</v>
      </c>
      <c r="F31" s="18">
        <f t="shared" si="0"/>
        <v>1386</v>
      </c>
      <c r="G31" s="19">
        <v>43741</v>
      </c>
    </row>
    <row r="32" spans="1:7" hidden="1" x14ac:dyDescent="0.25">
      <c r="A32" s="17" t="s">
        <v>36</v>
      </c>
      <c r="B32" s="17" t="s">
        <v>31</v>
      </c>
      <c r="C32" s="17" t="s">
        <v>22</v>
      </c>
      <c r="D32" s="18">
        <v>16</v>
      </c>
      <c r="E32" s="18">
        <v>399</v>
      </c>
      <c r="F32" s="18">
        <f t="shared" si="0"/>
        <v>6384</v>
      </c>
      <c r="G32" s="19">
        <v>43515</v>
      </c>
    </row>
    <row r="33" spans="1:7" hidden="1" x14ac:dyDescent="0.25">
      <c r="A33" s="17" t="s">
        <v>30</v>
      </c>
      <c r="B33" s="17" t="s">
        <v>33</v>
      </c>
      <c r="C33" s="17" t="s">
        <v>6</v>
      </c>
      <c r="D33" s="18">
        <v>18</v>
      </c>
      <c r="E33" s="18">
        <v>299</v>
      </c>
      <c r="F33" s="18">
        <f t="shared" si="0"/>
        <v>5382</v>
      </c>
      <c r="G33" s="19">
        <v>43490</v>
      </c>
    </row>
    <row r="34" spans="1:7" hidden="1" x14ac:dyDescent="0.25">
      <c r="A34" s="17" t="s">
        <v>32</v>
      </c>
      <c r="B34" s="17" t="s">
        <v>35</v>
      </c>
      <c r="C34" s="17" t="s">
        <v>22</v>
      </c>
      <c r="D34" s="18">
        <v>20</v>
      </c>
      <c r="E34" s="18">
        <v>99</v>
      </c>
      <c r="F34" s="18">
        <f t="shared" si="0"/>
        <v>1980</v>
      </c>
      <c r="G34" s="19">
        <v>43533</v>
      </c>
    </row>
    <row r="35" spans="1:7" hidden="1" x14ac:dyDescent="0.25">
      <c r="A35" s="17" t="s">
        <v>34</v>
      </c>
      <c r="B35" s="17" t="s">
        <v>31</v>
      </c>
      <c r="C35" s="17" t="s">
        <v>6</v>
      </c>
      <c r="D35" s="18">
        <v>22</v>
      </c>
      <c r="E35" s="18">
        <v>399</v>
      </c>
      <c r="F35" s="18">
        <f t="shared" si="0"/>
        <v>8778</v>
      </c>
      <c r="G35" s="19">
        <v>43676</v>
      </c>
    </row>
    <row r="36" spans="1:7" hidden="1" x14ac:dyDescent="0.25">
      <c r="A36" s="17" t="s">
        <v>36</v>
      </c>
      <c r="B36" s="17" t="s">
        <v>33</v>
      </c>
      <c r="C36" s="17" t="s">
        <v>22</v>
      </c>
      <c r="D36" s="18">
        <v>24</v>
      </c>
      <c r="E36" s="18">
        <v>299</v>
      </c>
      <c r="F36" s="18">
        <f t="shared" si="0"/>
        <v>7176</v>
      </c>
      <c r="G36" s="19">
        <v>43497</v>
      </c>
    </row>
    <row r="37" spans="1:7" hidden="1" x14ac:dyDescent="0.25">
      <c r="A37" s="17" t="s">
        <v>30</v>
      </c>
      <c r="B37" s="17" t="s">
        <v>35</v>
      </c>
      <c r="C37" s="17" t="s">
        <v>6</v>
      </c>
      <c r="D37" s="18">
        <v>10</v>
      </c>
      <c r="E37" s="18">
        <v>99</v>
      </c>
      <c r="F37" s="18">
        <f t="shared" si="0"/>
        <v>990</v>
      </c>
      <c r="G37" s="19">
        <v>43752</v>
      </c>
    </row>
    <row r="38" spans="1:7" hidden="1" x14ac:dyDescent="0.25">
      <c r="A38" s="17" t="s">
        <v>32</v>
      </c>
      <c r="B38" s="17" t="s">
        <v>31</v>
      </c>
      <c r="C38" s="17" t="s">
        <v>22</v>
      </c>
      <c r="D38" s="18">
        <v>12</v>
      </c>
      <c r="E38" s="18">
        <v>399</v>
      </c>
      <c r="F38" s="18">
        <f t="shared" si="0"/>
        <v>4788</v>
      </c>
      <c r="G38" s="19">
        <v>43592</v>
      </c>
    </row>
  </sheetData>
  <sheetProtection selectLockedCells="1"/>
  <autoFilter ref="A4:G38" xr:uid="{C1793189-9450-49D6-A91D-25D262659365}">
    <filterColumn colId="0">
      <customFilters>
        <customFilter val="*o*"/>
        <customFilter val="JUAN"/>
      </customFilters>
    </filterColumn>
    <filterColumn colId="1">
      <customFilters>
        <customFilter val="*o*"/>
        <customFilter val="TV"/>
      </customFilters>
    </filterColumn>
    <filterColumn colId="5">
      <customFilters and="1">
        <customFilter operator="greaterThanOrEqual" val="1000"/>
        <customFilter operator="lessThanOrEqual" val="4000"/>
      </custom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637C-640F-479B-9EBE-01BE8A70A514}">
  <sheetPr filterMode="1"/>
  <dimension ref="A1:K38"/>
  <sheetViews>
    <sheetView workbookViewId="0"/>
  </sheetViews>
  <sheetFormatPr baseColWidth="10" defaultColWidth="11.5703125" defaultRowHeight="15" x14ac:dyDescent="0.25"/>
  <cols>
    <col min="1" max="1" width="9" style="11" bestFit="1" customWidth="1"/>
    <col min="2" max="2" width="13.28515625" style="11" bestFit="1" customWidth="1"/>
    <col min="3" max="3" width="17.42578125" style="11" customWidth="1"/>
    <col min="4" max="4" width="10.28515625" style="11" bestFit="1" customWidth="1"/>
    <col min="5" max="5" width="8" style="11" bestFit="1" customWidth="1"/>
    <col min="6" max="6" width="9.5703125" style="11" bestFit="1" customWidth="1"/>
    <col min="7" max="7" width="18.5703125" style="11" bestFit="1" customWidth="1"/>
    <col min="8" max="8" width="11.5703125" style="11"/>
    <col min="9" max="9" width="3.85546875" style="11" customWidth="1"/>
    <col min="10" max="16384" width="11.5703125" style="11"/>
  </cols>
  <sheetData>
    <row r="1" spans="1:11" x14ac:dyDescent="0.25">
      <c r="A1" s="10" t="s">
        <v>62</v>
      </c>
      <c r="B1" s="14">
        <f>+I4</f>
        <v>0</v>
      </c>
    </row>
    <row r="2" spans="1:11" x14ac:dyDescent="0.25">
      <c r="B2" s="11" t="s">
        <v>51</v>
      </c>
      <c r="C2" s="11" t="s">
        <v>122</v>
      </c>
    </row>
    <row r="4" spans="1:11" x14ac:dyDescent="0.25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I4" s="15"/>
      <c r="J4" s="11" t="s">
        <v>51</v>
      </c>
      <c r="K4" s="21" t="s">
        <v>61</v>
      </c>
    </row>
    <row r="5" spans="1:11" x14ac:dyDescent="0.25">
      <c r="A5" s="17" t="s">
        <v>30</v>
      </c>
      <c r="B5" s="17" t="s">
        <v>31</v>
      </c>
      <c r="C5" s="17" t="s">
        <v>6</v>
      </c>
      <c r="D5" s="18">
        <v>10</v>
      </c>
      <c r="E5" s="18">
        <v>399</v>
      </c>
      <c r="F5" s="18">
        <f>D5*E5</f>
        <v>3990</v>
      </c>
      <c r="G5" s="19">
        <v>43664</v>
      </c>
      <c r="H5" s="20"/>
      <c r="I5" s="20"/>
      <c r="J5" s="20"/>
    </row>
    <row r="6" spans="1:11" x14ac:dyDescent="0.25">
      <c r="A6" s="17" t="s">
        <v>32</v>
      </c>
      <c r="B6" s="17" t="s">
        <v>33</v>
      </c>
      <c r="C6" s="17" t="s">
        <v>22</v>
      </c>
      <c r="D6" s="18">
        <v>12</v>
      </c>
      <c r="E6" s="18">
        <v>299</v>
      </c>
      <c r="F6" s="18">
        <f t="shared" ref="F6:F38" si="0">D6*E6</f>
        <v>3588</v>
      </c>
      <c r="G6" s="19">
        <v>43528</v>
      </c>
    </row>
    <row r="7" spans="1:11" hidden="1" x14ac:dyDescent="0.25">
      <c r="A7" s="17" t="s">
        <v>34</v>
      </c>
      <c r="B7" s="17" t="s">
        <v>35</v>
      </c>
      <c r="C7" s="17" t="s">
        <v>6</v>
      </c>
      <c r="D7" s="18">
        <v>14</v>
      </c>
      <c r="E7" s="18">
        <v>99</v>
      </c>
      <c r="F7" s="18">
        <f t="shared" si="0"/>
        <v>1386</v>
      </c>
      <c r="G7" s="19">
        <v>43668</v>
      </c>
    </row>
    <row r="8" spans="1:11" hidden="1" x14ac:dyDescent="0.25">
      <c r="A8" s="17" t="s">
        <v>36</v>
      </c>
      <c r="B8" s="17" t="s">
        <v>31</v>
      </c>
      <c r="C8" s="17" t="s">
        <v>22</v>
      </c>
      <c r="D8" s="18">
        <v>16</v>
      </c>
      <c r="E8" s="18">
        <v>399</v>
      </c>
      <c r="F8" s="18">
        <f t="shared" si="0"/>
        <v>6384</v>
      </c>
      <c r="G8" s="19">
        <v>43706</v>
      </c>
    </row>
    <row r="9" spans="1:11" x14ac:dyDescent="0.25">
      <c r="A9" s="17" t="s">
        <v>30</v>
      </c>
      <c r="B9" s="17" t="s">
        <v>33</v>
      </c>
      <c r="C9" s="17" t="s">
        <v>6</v>
      </c>
      <c r="D9" s="18">
        <v>18</v>
      </c>
      <c r="E9" s="18">
        <v>299</v>
      </c>
      <c r="F9" s="18">
        <f t="shared" si="0"/>
        <v>5382</v>
      </c>
      <c r="G9" s="19">
        <v>43594</v>
      </c>
    </row>
    <row r="10" spans="1:11" x14ac:dyDescent="0.25">
      <c r="A10" s="17" t="s">
        <v>32</v>
      </c>
      <c r="B10" s="17" t="s">
        <v>35</v>
      </c>
      <c r="C10" s="17" t="s">
        <v>22</v>
      </c>
      <c r="D10" s="18">
        <v>20</v>
      </c>
      <c r="E10" s="18">
        <v>99</v>
      </c>
      <c r="F10" s="18">
        <f t="shared" si="0"/>
        <v>1980</v>
      </c>
      <c r="G10" s="19">
        <v>43746</v>
      </c>
    </row>
    <row r="11" spans="1:11" hidden="1" x14ac:dyDescent="0.25">
      <c r="A11" s="17" t="s">
        <v>34</v>
      </c>
      <c r="B11" s="17" t="s">
        <v>31</v>
      </c>
      <c r="C11" s="17" t="s">
        <v>6</v>
      </c>
      <c r="D11" s="18">
        <v>22</v>
      </c>
      <c r="E11" s="18">
        <v>399</v>
      </c>
      <c r="F11" s="18">
        <f t="shared" si="0"/>
        <v>8778</v>
      </c>
      <c r="G11" s="19">
        <v>43693</v>
      </c>
    </row>
    <row r="12" spans="1:11" hidden="1" x14ac:dyDescent="0.25">
      <c r="A12" s="17" t="s">
        <v>36</v>
      </c>
      <c r="B12" s="17" t="s">
        <v>33</v>
      </c>
      <c r="C12" s="17" t="s">
        <v>22</v>
      </c>
      <c r="D12" s="18">
        <v>24</v>
      </c>
      <c r="E12" s="18">
        <v>299</v>
      </c>
      <c r="F12" s="18">
        <f t="shared" si="0"/>
        <v>7176</v>
      </c>
      <c r="G12" s="19">
        <v>43688</v>
      </c>
    </row>
    <row r="13" spans="1:11" x14ac:dyDescent="0.25">
      <c r="A13" s="17" t="s">
        <v>30</v>
      </c>
      <c r="B13" s="17" t="s">
        <v>35</v>
      </c>
      <c r="C13" s="17" t="s">
        <v>6</v>
      </c>
      <c r="D13" s="18">
        <v>10</v>
      </c>
      <c r="E13" s="18">
        <v>99</v>
      </c>
      <c r="F13" s="18">
        <f t="shared" si="0"/>
        <v>990</v>
      </c>
      <c r="G13" s="19">
        <v>43481</v>
      </c>
    </row>
    <row r="14" spans="1:11" x14ac:dyDescent="0.25">
      <c r="A14" s="17" t="s">
        <v>32</v>
      </c>
      <c r="B14" s="17" t="s">
        <v>31</v>
      </c>
      <c r="C14" s="17" t="s">
        <v>22</v>
      </c>
      <c r="D14" s="18">
        <v>12</v>
      </c>
      <c r="E14" s="18">
        <v>399</v>
      </c>
      <c r="F14" s="18">
        <f t="shared" si="0"/>
        <v>4788</v>
      </c>
      <c r="G14" s="19">
        <v>43770</v>
      </c>
    </row>
    <row r="15" spans="1:11" hidden="1" x14ac:dyDescent="0.25">
      <c r="A15" s="17" t="s">
        <v>34</v>
      </c>
      <c r="B15" s="17" t="s">
        <v>33</v>
      </c>
      <c r="C15" s="17" t="s">
        <v>6</v>
      </c>
      <c r="D15" s="18">
        <v>14</v>
      </c>
      <c r="E15" s="18">
        <v>299</v>
      </c>
      <c r="F15" s="18">
        <f t="shared" si="0"/>
        <v>4186</v>
      </c>
      <c r="G15" s="19">
        <v>43722</v>
      </c>
    </row>
    <row r="16" spans="1:11" hidden="1" x14ac:dyDescent="0.25">
      <c r="A16" s="17" t="s">
        <v>36</v>
      </c>
      <c r="B16" s="17" t="s">
        <v>35</v>
      </c>
      <c r="C16" s="17" t="s">
        <v>22</v>
      </c>
      <c r="D16" s="18">
        <v>16</v>
      </c>
      <c r="E16" s="18">
        <v>99</v>
      </c>
      <c r="F16" s="18">
        <f t="shared" si="0"/>
        <v>1584</v>
      </c>
      <c r="G16" s="19">
        <v>43578</v>
      </c>
    </row>
    <row r="17" spans="1:7" x14ac:dyDescent="0.25">
      <c r="A17" s="17" t="s">
        <v>30</v>
      </c>
      <c r="B17" s="17" t="s">
        <v>31</v>
      </c>
      <c r="C17" s="17" t="s">
        <v>6</v>
      </c>
      <c r="D17" s="18">
        <v>18</v>
      </c>
      <c r="E17" s="18">
        <v>399</v>
      </c>
      <c r="F17" s="18">
        <f t="shared" si="0"/>
        <v>7182</v>
      </c>
      <c r="G17" s="19">
        <v>43701</v>
      </c>
    </row>
    <row r="18" spans="1:7" x14ac:dyDescent="0.25">
      <c r="A18" s="17" t="s">
        <v>32</v>
      </c>
      <c r="B18" s="17" t="s">
        <v>33</v>
      </c>
      <c r="C18" s="17" t="s">
        <v>22</v>
      </c>
      <c r="D18" s="18">
        <v>20</v>
      </c>
      <c r="E18" s="18">
        <v>299</v>
      </c>
      <c r="F18" s="18">
        <f t="shared" si="0"/>
        <v>5980</v>
      </c>
      <c r="G18" s="19">
        <v>43598</v>
      </c>
    </row>
    <row r="19" spans="1:7" hidden="1" x14ac:dyDescent="0.25">
      <c r="A19" s="17" t="s">
        <v>34</v>
      </c>
      <c r="B19" s="17" t="s">
        <v>35</v>
      </c>
      <c r="C19" s="17" t="s">
        <v>6</v>
      </c>
      <c r="D19" s="18">
        <v>22</v>
      </c>
      <c r="E19" s="18">
        <v>99</v>
      </c>
      <c r="F19" s="18">
        <f t="shared" si="0"/>
        <v>2178</v>
      </c>
      <c r="G19" s="19">
        <v>43548</v>
      </c>
    </row>
    <row r="20" spans="1:7" hidden="1" x14ac:dyDescent="0.25">
      <c r="A20" s="17" t="s">
        <v>36</v>
      </c>
      <c r="B20" s="17" t="s">
        <v>31</v>
      </c>
      <c r="C20" s="17" t="s">
        <v>22</v>
      </c>
      <c r="D20" s="18">
        <v>24</v>
      </c>
      <c r="E20" s="18">
        <v>399</v>
      </c>
      <c r="F20" s="18">
        <f t="shared" si="0"/>
        <v>9576</v>
      </c>
      <c r="G20" s="19">
        <v>43688</v>
      </c>
    </row>
    <row r="21" spans="1:7" x14ac:dyDescent="0.25">
      <c r="A21" s="17" t="s">
        <v>30</v>
      </c>
      <c r="B21" s="17" t="s">
        <v>33</v>
      </c>
      <c r="C21" s="17" t="s">
        <v>6</v>
      </c>
      <c r="D21" s="18">
        <v>10</v>
      </c>
      <c r="E21" s="18">
        <v>299</v>
      </c>
      <c r="F21" s="18">
        <f t="shared" si="0"/>
        <v>2990</v>
      </c>
      <c r="G21" s="19">
        <v>43582</v>
      </c>
    </row>
    <row r="22" spans="1:7" x14ac:dyDescent="0.25">
      <c r="A22" s="17" t="s">
        <v>32</v>
      </c>
      <c r="B22" s="17" t="s">
        <v>35</v>
      </c>
      <c r="C22" s="17" t="s">
        <v>22</v>
      </c>
      <c r="D22" s="18">
        <v>12</v>
      </c>
      <c r="E22" s="18">
        <v>99</v>
      </c>
      <c r="F22" s="18">
        <f t="shared" si="0"/>
        <v>1188</v>
      </c>
      <c r="G22" s="19">
        <v>43489</v>
      </c>
    </row>
    <row r="23" spans="1:7" hidden="1" x14ac:dyDescent="0.25">
      <c r="A23" s="17" t="s">
        <v>34</v>
      </c>
      <c r="B23" s="17" t="s">
        <v>31</v>
      </c>
      <c r="C23" s="17" t="s">
        <v>6</v>
      </c>
      <c r="D23" s="18">
        <v>14</v>
      </c>
      <c r="E23" s="18">
        <v>399</v>
      </c>
      <c r="F23" s="18">
        <f t="shared" si="0"/>
        <v>5586</v>
      </c>
      <c r="G23" s="19">
        <v>43482</v>
      </c>
    </row>
    <row r="24" spans="1:7" hidden="1" x14ac:dyDescent="0.25">
      <c r="A24" s="17" t="s">
        <v>36</v>
      </c>
      <c r="B24" s="17" t="s">
        <v>33</v>
      </c>
      <c r="C24" s="17" t="s">
        <v>22</v>
      </c>
      <c r="D24" s="18">
        <v>16</v>
      </c>
      <c r="E24" s="18">
        <v>299</v>
      </c>
      <c r="F24" s="18">
        <f t="shared" si="0"/>
        <v>4784</v>
      </c>
      <c r="G24" s="19">
        <v>43676</v>
      </c>
    </row>
    <row r="25" spans="1:7" x14ac:dyDescent="0.25">
      <c r="A25" s="17" t="s">
        <v>30</v>
      </c>
      <c r="B25" s="17" t="s">
        <v>35</v>
      </c>
      <c r="C25" s="17" t="s">
        <v>6</v>
      </c>
      <c r="D25" s="18">
        <v>18</v>
      </c>
      <c r="E25" s="18">
        <v>99</v>
      </c>
      <c r="F25" s="18">
        <f t="shared" si="0"/>
        <v>1782</v>
      </c>
      <c r="G25" s="19">
        <v>43743</v>
      </c>
    </row>
    <row r="26" spans="1:7" x14ac:dyDescent="0.25">
      <c r="A26" s="17" t="s">
        <v>32</v>
      </c>
      <c r="B26" s="17" t="s">
        <v>31</v>
      </c>
      <c r="C26" s="17" t="s">
        <v>22</v>
      </c>
      <c r="D26" s="18">
        <v>20</v>
      </c>
      <c r="E26" s="18">
        <v>399</v>
      </c>
      <c r="F26" s="18">
        <f t="shared" si="0"/>
        <v>7980</v>
      </c>
      <c r="G26" s="19">
        <v>43605</v>
      </c>
    </row>
    <row r="27" spans="1:7" hidden="1" x14ac:dyDescent="0.25">
      <c r="A27" s="17" t="s">
        <v>34</v>
      </c>
      <c r="B27" s="17" t="s">
        <v>33</v>
      </c>
      <c r="C27" s="17" t="s">
        <v>6</v>
      </c>
      <c r="D27" s="18">
        <v>22</v>
      </c>
      <c r="E27" s="18">
        <v>299</v>
      </c>
      <c r="F27" s="18">
        <f t="shared" si="0"/>
        <v>6578</v>
      </c>
      <c r="G27" s="19">
        <v>43535</v>
      </c>
    </row>
    <row r="28" spans="1:7" hidden="1" x14ac:dyDescent="0.25">
      <c r="A28" s="17" t="s">
        <v>36</v>
      </c>
      <c r="B28" s="17" t="s">
        <v>35</v>
      </c>
      <c r="C28" s="17" t="s">
        <v>22</v>
      </c>
      <c r="D28" s="18">
        <v>24</v>
      </c>
      <c r="E28" s="18">
        <v>99</v>
      </c>
      <c r="F28" s="18">
        <f t="shared" si="0"/>
        <v>2376</v>
      </c>
      <c r="G28" s="19">
        <v>43506</v>
      </c>
    </row>
    <row r="29" spans="1:7" x14ac:dyDescent="0.25">
      <c r="A29" s="17" t="s">
        <v>30</v>
      </c>
      <c r="B29" s="17" t="s">
        <v>31</v>
      </c>
      <c r="C29" s="17" t="s">
        <v>6</v>
      </c>
      <c r="D29" s="18">
        <v>10</v>
      </c>
      <c r="E29" s="18">
        <v>399</v>
      </c>
      <c r="F29" s="18">
        <f t="shared" si="0"/>
        <v>3990</v>
      </c>
      <c r="G29" s="19">
        <v>43592</v>
      </c>
    </row>
    <row r="30" spans="1:7" x14ac:dyDescent="0.25">
      <c r="A30" s="17" t="s">
        <v>32</v>
      </c>
      <c r="B30" s="17" t="s">
        <v>33</v>
      </c>
      <c r="C30" s="17" t="s">
        <v>22</v>
      </c>
      <c r="D30" s="18">
        <v>12</v>
      </c>
      <c r="E30" s="18">
        <v>299</v>
      </c>
      <c r="F30" s="18">
        <f t="shared" si="0"/>
        <v>3588</v>
      </c>
      <c r="G30" s="19">
        <v>43560</v>
      </c>
    </row>
    <row r="31" spans="1:7" hidden="1" x14ac:dyDescent="0.25">
      <c r="A31" s="17" t="s">
        <v>34</v>
      </c>
      <c r="B31" s="17" t="s">
        <v>35</v>
      </c>
      <c r="C31" s="17" t="s">
        <v>6</v>
      </c>
      <c r="D31" s="18">
        <v>14</v>
      </c>
      <c r="E31" s="18">
        <v>99</v>
      </c>
      <c r="F31" s="18">
        <f t="shared" si="0"/>
        <v>1386</v>
      </c>
      <c r="G31" s="19">
        <v>43741</v>
      </c>
    </row>
    <row r="32" spans="1:7" hidden="1" x14ac:dyDescent="0.25">
      <c r="A32" s="17" t="s">
        <v>36</v>
      </c>
      <c r="B32" s="17" t="s">
        <v>31</v>
      </c>
      <c r="C32" s="17" t="s">
        <v>22</v>
      </c>
      <c r="D32" s="18">
        <v>16</v>
      </c>
      <c r="E32" s="18">
        <v>399</v>
      </c>
      <c r="F32" s="18">
        <f t="shared" si="0"/>
        <v>6384</v>
      </c>
      <c r="G32" s="19">
        <v>43515</v>
      </c>
    </row>
    <row r="33" spans="1:7" x14ac:dyDescent="0.25">
      <c r="A33" s="17" t="s">
        <v>30</v>
      </c>
      <c r="B33" s="17" t="s">
        <v>33</v>
      </c>
      <c r="C33" s="17" t="s">
        <v>6</v>
      </c>
      <c r="D33" s="18">
        <v>18</v>
      </c>
      <c r="E33" s="18">
        <v>299</v>
      </c>
      <c r="F33" s="18">
        <f t="shared" si="0"/>
        <v>5382</v>
      </c>
      <c r="G33" s="19">
        <v>43490</v>
      </c>
    </row>
    <row r="34" spans="1:7" x14ac:dyDescent="0.25">
      <c r="A34" s="17" t="s">
        <v>32</v>
      </c>
      <c r="B34" s="17" t="s">
        <v>35</v>
      </c>
      <c r="C34" s="17" t="s">
        <v>22</v>
      </c>
      <c r="D34" s="18">
        <v>20</v>
      </c>
      <c r="E34" s="18">
        <v>99</v>
      </c>
      <c r="F34" s="18">
        <f t="shared" si="0"/>
        <v>1980</v>
      </c>
      <c r="G34" s="19">
        <v>43533</v>
      </c>
    </row>
    <row r="35" spans="1:7" hidden="1" x14ac:dyDescent="0.25">
      <c r="A35" s="17" t="s">
        <v>34</v>
      </c>
      <c r="B35" s="17" t="s">
        <v>31</v>
      </c>
      <c r="C35" s="17" t="s">
        <v>6</v>
      </c>
      <c r="D35" s="18">
        <v>22</v>
      </c>
      <c r="E35" s="18">
        <v>399</v>
      </c>
      <c r="F35" s="18">
        <f t="shared" si="0"/>
        <v>8778</v>
      </c>
      <c r="G35" s="19">
        <v>43676</v>
      </c>
    </row>
    <row r="36" spans="1:7" hidden="1" x14ac:dyDescent="0.25">
      <c r="A36" s="17" t="s">
        <v>36</v>
      </c>
      <c r="B36" s="17" t="s">
        <v>33</v>
      </c>
      <c r="C36" s="17" t="s">
        <v>22</v>
      </c>
      <c r="D36" s="18">
        <v>24</v>
      </c>
      <c r="E36" s="18">
        <v>299</v>
      </c>
      <c r="F36" s="18">
        <f t="shared" si="0"/>
        <v>7176</v>
      </c>
      <c r="G36" s="19">
        <v>43497</v>
      </c>
    </row>
    <row r="37" spans="1:7" x14ac:dyDescent="0.25">
      <c r="A37" s="17" t="s">
        <v>30</v>
      </c>
      <c r="B37" s="17" t="s">
        <v>35</v>
      </c>
      <c r="C37" s="17" t="s">
        <v>6</v>
      </c>
      <c r="D37" s="18">
        <v>10</v>
      </c>
      <c r="E37" s="18">
        <v>99</v>
      </c>
      <c r="F37" s="18">
        <f t="shared" si="0"/>
        <v>990</v>
      </c>
      <c r="G37" s="19">
        <v>43752</v>
      </c>
    </row>
    <row r="38" spans="1:7" x14ac:dyDescent="0.25">
      <c r="A38" s="17" t="s">
        <v>32</v>
      </c>
      <c r="B38" s="17" t="s">
        <v>31</v>
      </c>
      <c r="C38" s="17" t="s">
        <v>22</v>
      </c>
      <c r="D38" s="18">
        <v>12</v>
      </c>
      <c r="E38" s="18">
        <v>399</v>
      </c>
      <c r="F38" s="18">
        <f t="shared" si="0"/>
        <v>4788</v>
      </c>
      <c r="G38" s="19">
        <v>43592</v>
      </c>
    </row>
  </sheetData>
  <sheetProtection selectLockedCells="1"/>
  <autoFilter ref="A4:C38" xr:uid="{33963E53-9FC1-40F0-B280-C48B29B64BD3}">
    <filterColumn colId="0">
      <filters>
        <filter val="JUAN"/>
        <filter val="MARIA"/>
      </filters>
    </filterColumn>
    <filterColumn colId="1">
      <customFilters>
        <customFilter val="*o*"/>
        <customFilter val="TV"/>
      </customFilters>
    </filterColumn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1CEF-3798-4C96-8A4F-140CD1713509}">
  <sheetPr filterMode="1"/>
  <dimension ref="A1:K38"/>
  <sheetViews>
    <sheetView workbookViewId="0">
      <selection activeCell="T56" sqref="T56"/>
    </sheetView>
  </sheetViews>
  <sheetFormatPr baseColWidth="10" defaultColWidth="11.5703125" defaultRowHeight="15" x14ac:dyDescent="0.25"/>
  <cols>
    <col min="1" max="1" width="9" style="11" bestFit="1" customWidth="1"/>
    <col min="2" max="2" width="12.42578125" style="11" bestFit="1" customWidth="1"/>
    <col min="3" max="3" width="15.28515625" style="11" bestFit="1" customWidth="1"/>
    <col min="4" max="4" width="10.28515625" style="11" bestFit="1" customWidth="1"/>
    <col min="5" max="5" width="9.7109375" style="11" bestFit="1" customWidth="1"/>
    <col min="6" max="6" width="9.5703125" style="11" bestFit="1" customWidth="1"/>
    <col min="7" max="7" width="18.5703125" style="11" bestFit="1" customWidth="1"/>
    <col min="8" max="8" width="11.5703125" style="11"/>
    <col min="9" max="9" width="3.85546875" style="11" customWidth="1"/>
    <col min="10" max="16384" width="11.5703125" style="11"/>
  </cols>
  <sheetData>
    <row r="1" spans="1:11" x14ac:dyDescent="0.25">
      <c r="A1" s="10" t="s">
        <v>62</v>
      </c>
      <c r="B1" s="14">
        <f>+I4</f>
        <v>0</v>
      </c>
    </row>
    <row r="2" spans="1:11" x14ac:dyDescent="0.25">
      <c r="B2" s="11" t="s">
        <v>51</v>
      </c>
      <c r="C2" s="11" t="s">
        <v>122</v>
      </c>
    </row>
    <row r="4" spans="1:11" x14ac:dyDescent="0.25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I4" s="15"/>
      <c r="J4" s="11" t="s">
        <v>51</v>
      </c>
      <c r="K4" s="21" t="s">
        <v>57</v>
      </c>
    </row>
    <row r="5" spans="1:11" hidden="1" x14ac:dyDescent="0.25">
      <c r="A5" s="17" t="s">
        <v>30</v>
      </c>
      <c r="B5" s="17" t="s">
        <v>31</v>
      </c>
      <c r="C5" s="17" t="s">
        <v>6</v>
      </c>
      <c r="D5" s="18">
        <v>10</v>
      </c>
      <c r="E5" s="18">
        <v>399</v>
      </c>
      <c r="F5" s="18">
        <f>D5*E5</f>
        <v>3990</v>
      </c>
      <c r="G5" s="19">
        <v>43664</v>
      </c>
      <c r="H5" s="20"/>
      <c r="I5" s="20"/>
      <c r="J5" s="20"/>
    </row>
    <row r="6" spans="1:11" hidden="1" x14ac:dyDescent="0.25">
      <c r="A6" s="17" t="s">
        <v>32</v>
      </c>
      <c r="B6" s="17" t="s">
        <v>33</v>
      </c>
      <c r="C6" s="17" t="s">
        <v>22</v>
      </c>
      <c r="D6" s="18">
        <v>12</v>
      </c>
      <c r="E6" s="18">
        <v>299</v>
      </c>
      <c r="F6" s="18">
        <f t="shared" ref="F6:F38" si="0">D6*E6</f>
        <v>3588</v>
      </c>
      <c r="G6" s="19">
        <v>43528</v>
      </c>
    </row>
    <row r="7" spans="1:11" hidden="1" x14ac:dyDescent="0.25">
      <c r="A7" s="17" t="s">
        <v>34</v>
      </c>
      <c r="B7" s="17" t="s">
        <v>35</v>
      </c>
      <c r="C7" s="17" t="s">
        <v>6</v>
      </c>
      <c r="D7" s="18">
        <v>14</v>
      </c>
      <c r="E7" s="18">
        <v>99</v>
      </c>
      <c r="F7" s="18">
        <f t="shared" si="0"/>
        <v>1386</v>
      </c>
      <c r="G7" s="19">
        <v>43668</v>
      </c>
    </row>
    <row r="8" spans="1:11" hidden="1" x14ac:dyDescent="0.25">
      <c r="A8" s="17" t="s">
        <v>36</v>
      </c>
      <c r="B8" s="17" t="s">
        <v>31</v>
      </c>
      <c r="C8" s="17" t="s">
        <v>22</v>
      </c>
      <c r="D8" s="18">
        <v>16</v>
      </c>
      <c r="E8" s="18">
        <v>399</v>
      </c>
      <c r="F8" s="18">
        <f t="shared" si="0"/>
        <v>6384</v>
      </c>
      <c r="G8" s="19">
        <v>43706</v>
      </c>
    </row>
    <row r="9" spans="1:11" hidden="1" x14ac:dyDescent="0.25">
      <c r="A9" s="17" t="s">
        <v>30</v>
      </c>
      <c r="B9" s="17" t="s">
        <v>33</v>
      </c>
      <c r="C9" s="17" t="s">
        <v>6</v>
      </c>
      <c r="D9" s="18">
        <v>18</v>
      </c>
      <c r="E9" s="18">
        <v>299</v>
      </c>
      <c r="F9" s="18">
        <f t="shared" si="0"/>
        <v>5382</v>
      </c>
      <c r="G9" s="19">
        <v>43594</v>
      </c>
    </row>
    <row r="10" spans="1:11" hidden="1" x14ac:dyDescent="0.25">
      <c r="A10" s="17" t="s">
        <v>32</v>
      </c>
      <c r="B10" s="17" t="s">
        <v>35</v>
      </c>
      <c r="C10" s="17" t="s">
        <v>22</v>
      </c>
      <c r="D10" s="18">
        <v>20</v>
      </c>
      <c r="E10" s="18">
        <v>99</v>
      </c>
      <c r="F10" s="18">
        <f t="shared" si="0"/>
        <v>1980</v>
      </c>
      <c r="G10" s="19">
        <v>43746</v>
      </c>
    </row>
    <row r="11" spans="1:11" hidden="1" x14ac:dyDescent="0.25">
      <c r="A11" s="17" t="s">
        <v>34</v>
      </c>
      <c r="B11" s="17" t="s">
        <v>31</v>
      </c>
      <c r="C11" s="17" t="s">
        <v>6</v>
      </c>
      <c r="D11" s="18">
        <v>22</v>
      </c>
      <c r="E11" s="18">
        <v>399</v>
      </c>
      <c r="F11" s="18">
        <f t="shared" si="0"/>
        <v>8778</v>
      </c>
      <c r="G11" s="19">
        <v>43693</v>
      </c>
    </row>
    <row r="12" spans="1:11" hidden="1" x14ac:dyDescent="0.25">
      <c r="A12" s="17" t="s">
        <v>36</v>
      </c>
      <c r="B12" s="17" t="s">
        <v>33</v>
      </c>
      <c r="C12" s="17" t="s">
        <v>22</v>
      </c>
      <c r="D12" s="18">
        <v>24</v>
      </c>
      <c r="E12" s="18">
        <v>299</v>
      </c>
      <c r="F12" s="18">
        <f t="shared" si="0"/>
        <v>7176</v>
      </c>
      <c r="G12" s="19">
        <v>43688</v>
      </c>
    </row>
    <row r="13" spans="1:11" hidden="1" x14ac:dyDescent="0.25">
      <c r="A13" s="17" t="s">
        <v>30</v>
      </c>
      <c r="B13" s="17" t="s">
        <v>35</v>
      </c>
      <c r="C13" s="17" t="s">
        <v>6</v>
      </c>
      <c r="D13" s="18">
        <v>10</v>
      </c>
      <c r="E13" s="18">
        <v>99</v>
      </c>
      <c r="F13" s="18">
        <f t="shared" si="0"/>
        <v>990</v>
      </c>
      <c r="G13" s="19">
        <v>43481</v>
      </c>
    </row>
    <row r="14" spans="1:11" hidden="1" x14ac:dyDescent="0.25">
      <c r="A14" s="17" t="s">
        <v>32</v>
      </c>
      <c r="B14" s="17" t="s">
        <v>31</v>
      </c>
      <c r="C14" s="17" t="s">
        <v>22</v>
      </c>
      <c r="D14" s="18">
        <v>12</v>
      </c>
      <c r="E14" s="18">
        <v>399</v>
      </c>
      <c r="F14" s="18">
        <f t="shared" si="0"/>
        <v>4788</v>
      </c>
      <c r="G14" s="19">
        <v>43770</v>
      </c>
    </row>
    <row r="15" spans="1:11" hidden="1" x14ac:dyDescent="0.25">
      <c r="A15" s="17" t="s">
        <v>34</v>
      </c>
      <c r="B15" s="17" t="s">
        <v>33</v>
      </c>
      <c r="C15" s="17" t="s">
        <v>6</v>
      </c>
      <c r="D15" s="18">
        <v>14</v>
      </c>
      <c r="E15" s="18">
        <v>299</v>
      </c>
      <c r="F15" s="18">
        <f t="shared" si="0"/>
        <v>4186</v>
      </c>
      <c r="G15" s="19">
        <v>43722</v>
      </c>
    </row>
    <row r="16" spans="1:11" hidden="1" x14ac:dyDescent="0.25">
      <c r="A16" s="17" t="s">
        <v>36</v>
      </c>
      <c r="B16" s="17" t="s">
        <v>35</v>
      </c>
      <c r="C16" s="17" t="s">
        <v>22</v>
      </c>
      <c r="D16" s="18">
        <v>16</v>
      </c>
      <c r="E16" s="18">
        <v>99</v>
      </c>
      <c r="F16" s="18">
        <f t="shared" si="0"/>
        <v>1584</v>
      </c>
      <c r="G16" s="19">
        <v>43578</v>
      </c>
    </row>
    <row r="17" spans="1:7" hidden="1" x14ac:dyDescent="0.25">
      <c r="A17" s="17" t="s">
        <v>30</v>
      </c>
      <c r="B17" s="17" t="s">
        <v>31</v>
      </c>
      <c r="C17" s="17" t="s">
        <v>6</v>
      </c>
      <c r="D17" s="18">
        <v>18</v>
      </c>
      <c r="E17" s="18">
        <v>399</v>
      </c>
      <c r="F17" s="18">
        <f t="shared" si="0"/>
        <v>7182</v>
      </c>
      <c r="G17" s="19">
        <v>43701</v>
      </c>
    </row>
    <row r="18" spans="1:7" hidden="1" x14ac:dyDescent="0.25">
      <c r="A18" s="17" t="s">
        <v>32</v>
      </c>
      <c r="B18" s="17" t="s">
        <v>33</v>
      </c>
      <c r="C18" s="17" t="s">
        <v>22</v>
      </c>
      <c r="D18" s="18">
        <v>20</v>
      </c>
      <c r="E18" s="18">
        <v>299</v>
      </c>
      <c r="F18" s="18">
        <f t="shared" si="0"/>
        <v>5980</v>
      </c>
      <c r="G18" s="19">
        <v>43598</v>
      </c>
    </row>
    <row r="19" spans="1:7" hidden="1" x14ac:dyDescent="0.25">
      <c r="A19" s="17" t="s">
        <v>34</v>
      </c>
      <c r="B19" s="17" t="s">
        <v>35</v>
      </c>
      <c r="C19" s="17" t="s">
        <v>6</v>
      </c>
      <c r="D19" s="18">
        <v>22</v>
      </c>
      <c r="E19" s="18">
        <v>99</v>
      </c>
      <c r="F19" s="18">
        <f t="shared" si="0"/>
        <v>2178</v>
      </c>
      <c r="G19" s="19">
        <v>43548</v>
      </c>
    </row>
    <row r="20" spans="1:7" hidden="1" x14ac:dyDescent="0.25">
      <c r="A20" s="17" t="s">
        <v>36</v>
      </c>
      <c r="B20" s="17" t="s">
        <v>31</v>
      </c>
      <c r="C20" s="17" t="s">
        <v>22</v>
      </c>
      <c r="D20" s="18">
        <v>24</v>
      </c>
      <c r="E20" s="18">
        <v>399</v>
      </c>
      <c r="F20" s="18">
        <f t="shared" si="0"/>
        <v>9576</v>
      </c>
      <c r="G20" s="19">
        <v>43688</v>
      </c>
    </row>
    <row r="21" spans="1:7" x14ac:dyDescent="0.25">
      <c r="A21" s="17" t="s">
        <v>30</v>
      </c>
      <c r="B21" s="17" t="s">
        <v>33</v>
      </c>
      <c r="C21" s="17" t="s">
        <v>6</v>
      </c>
      <c r="D21" s="18">
        <v>10</v>
      </c>
      <c r="E21" s="18">
        <v>299</v>
      </c>
      <c r="F21" s="18">
        <f t="shared" si="0"/>
        <v>2990</v>
      </c>
      <c r="G21" s="19">
        <v>43582</v>
      </c>
    </row>
    <row r="22" spans="1:7" hidden="1" x14ac:dyDescent="0.25">
      <c r="A22" s="17" t="s">
        <v>32</v>
      </c>
      <c r="B22" s="17" t="s">
        <v>35</v>
      </c>
      <c r="C22" s="17" t="s">
        <v>22</v>
      </c>
      <c r="D22" s="18">
        <v>12</v>
      </c>
      <c r="E22" s="18">
        <v>99</v>
      </c>
      <c r="F22" s="18">
        <f t="shared" si="0"/>
        <v>1188</v>
      </c>
      <c r="G22" s="19">
        <v>43489</v>
      </c>
    </row>
    <row r="23" spans="1:7" hidden="1" x14ac:dyDescent="0.25">
      <c r="A23" s="17" t="s">
        <v>34</v>
      </c>
      <c r="B23" s="17" t="s">
        <v>31</v>
      </c>
      <c r="C23" s="17" t="s">
        <v>6</v>
      </c>
      <c r="D23" s="18">
        <v>14</v>
      </c>
      <c r="E23" s="18">
        <v>399</v>
      </c>
      <c r="F23" s="18">
        <f t="shared" si="0"/>
        <v>5586</v>
      </c>
      <c r="G23" s="19">
        <v>43482</v>
      </c>
    </row>
    <row r="24" spans="1:7" hidden="1" x14ac:dyDescent="0.25">
      <c r="A24" s="17" t="s">
        <v>36</v>
      </c>
      <c r="B24" s="17" t="s">
        <v>33</v>
      </c>
      <c r="C24" s="17" t="s">
        <v>22</v>
      </c>
      <c r="D24" s="18">
        <v>16</v>
      </c>
      <c r="E24" s="18">
        <v>299</v>
      </c>
      <c r="F24" s="18">
        <f t="shared" si="0"/>
        <v>4784</v>
      </c>
      <c r="G24" s="19">
        <v>43676</v>
      </c>
    </row>
    <row r="25" spans="1:7" hidden="1" x14ac:dyDescent="0.25">
      <c r="A25" s="17" t="s">
        <v>30</v>
      </c>
      <c r="B25" s="17" t="s">
        <v>35</v>
      </c>
      <c r="C25" s="17" t="s">
        <v>6</v>
      </c>
      <c r="D25" s="18">
        <v>18</v>
      </c>
      <c r="E25" s="18">
        <v>99</v>
      </c>
      <c r="F25" s="18">
        <f t="shared" si="0"/>
        <v>1782</v>
      </c>
      <c r="G25" s="19">
        <v>43743</v>
      </c>
    </row>
    <row r="26" spans="1:7" hidden="1" x14ac:dyDescent="0.25">
      <c r="A26" s="17" t="s">
        <v>32</v>
      </c>
      <c r="B26" s="17" t="s">
        <v>31</v>
      </c>
      <c r="C26" s="17" t="s">
        <v>22</v>
      </c>
      <c r="D26" s="18">
        <v>20</v>
      </c>
      <c r="E26" s="18">
        <v>399</v>
      </c>
      <c r="F26" s="18">
        <f t="shared" si="0"/>
        <v>7980</v>
      </c>
      <c r="G26" s="19">
        <v>43605</v>
      </c>
    </row>
    <row r="27" spans="1:7" hidden="1" x14ac:dyDescent="0.25">
      <c r="A27" s="17" t="s">
        <v>34</v>
      </c>
      <c r="B27" s="17" t="s">
        <v>33</v>
      </c>
      <c r="C27" s="17" t="s">
        <v>6</v>
      </c>
      <c r="D27" s="18">
        <v>22</v>
      </c>
      <c r="E27" s="18">
        <v>299</v>
      </c>
      <c r="F27" s="18">
        <f t="shared" si="0"/>
        <v>6578</v>
      </c>
      <c r="G27" s="19">
        <v>43535</v>
      </c>
    </row>
    <row r="28" spans="1:7" hidden="1" x14ac:dyDescent="0.25">
      <c r="A28" s="17" t="s">
        <v>36</v>
      </c>
      <c r="B28" s="17" t="s">
        <v>35</v>
      </c>
      <c r="C28" s="17" t="s">
        <v>22</v>
      </c>
      <c r="D28" s="18">
        <v>24</v>
      </c>
      <c r="E28" s="18">
        <v>99</v>
      </c>
      <c r="F28" s="18">
        <f t="shared" si="0"/>
        <v>2376</v>
      </c>
      <c r="G28" s="19">
        <v>43506</v>
      </c>
    </row>
    <row r="29" spans="1:7" hidden="1" x14ac:dyDescent="0.25">
      <c r="A29" s="17" t="s">
        <v>30</v>
      </c>
      <c r="B29" s="17" t="s">
        <v>31</v>
      </c>
      <c r="C29" s="17" t="s">
        <v>6</v>
      </c>
      <c r="D29" s="18">
        <v>10</v>
      </c>
      <c r="E29" s="18">
        <v>399</v>
      </c>
      <c r="F29" s="18">
        <f t="shared" si="0"/>
        <v>3990</v>
      </c>
      <c r="G29" s="19">
        <v>43592</v>
      </c>
    </row>
    <row r="30" spans="1:7" hidden="1" x14ac:dyDescent="0.25">
      <c r="A30" s="17" t="s">
        <v>32</v>
      </c>
      <c r="B30" s="17" t="s">
        <v>33</v>
      </c>
      <c r="C30" s="17" t="s">
        <v>22</v>
      </c>
      <c r="D30" s="18">
        <v>12</v>
      </c>
      <c r="E30" s="18">
        <v>299</v>
      </c>
      <c r="F30" s="18">
        <f t="shared" si="0"/>
        <v>3588</v>
      </c>
      <c r="G30" s="19">
        <v>43560</v>
      </c>
    </row>
    <row r="31" spans="1:7" hidden="1" x14ac:dyDescent="0.25">
      <c r="A31" s="17" t="s">
        <v>34</v>
      </c>
      <c r="B31" s="17" t="s">
        <v>35</v>
      </c>
      <c r="C31" s="17" t="s">
        <v>6</v>
      </c>
      <c r="D31" s="18">
        <v>14</v>
      </c>
      <c r="E31" s="18">
        <v>99</v>
      </c>
      <c r="F31" s="18">
        <f t="shared" si="0"/>
        <v>1386</v>
      </c>
      <c r="G31" s="19">
        <v>43741</v>
      </c>
    </row>
    <row r="32" spans="1:7" hidden="1" x14ac:dyDescent="0.25">
      <c r="A32" s="17" t="s">
        <v>36</v>
      </c>
      <c r="B32" s="17" t="s">
        <v>31</v>
      </c>
      <c r="C32" s="17" t="s">
        <v>22</v>
      </c>
      <c r="D32" s="18">
        <v>16</v>
      </c>
      <c r="E32" s="18">
        <v>399</v>
      </c>
      <c r="F32" s="18">
        <f t="shared" si="0"/>
        <v>6384</v>
      </c>
      <c r="G32" s="19">
        <v>43515</v>
      </c>
    </row>
    <row r="33" spans="1:7" hidden="1" x14ac:dyDescent="0.25">
      <c r="A33" s="17" t="s">
        <v>30</v>
      </c>
      <c r="B33" s="17" t="s">
        <v>33</v>
      </c>
      <c r="C33" s="17" t="s">
        <v>6</v>
      </c>
      <c r="D33" s="18">
        <v>18</v>
      </c>
      <c r="E33" s="18">
        <v>299</v>
      </c>
      <c r="F33" s="18">
        <f t="shared" si="0"/>
        <v>5382</v>
      </c>
      <c r="G33" s="19">
        <v>43490</v>
      </c>
    </row>
    <row r="34" spans="1:7" hidden="1" x14ac:dyDescent="0.25">
      <c r="A34" s="17" t="s">
        <v>32</v>
      </c>
      <c r="B34" s="17" t="s">
        <v>35</v>
      </c>
      <c r="C34" s="17" t="s">
        <v>22</v>
      </c>
      <c r="D34" s="18">
        <v>20</v>
      </c>
      <c r="E34" s="18">
        <v>99</v>
      </c>
      <c r="F34" s="18">
        <f t="shared" si="0"/>
        <v>1980</v>
      </c>
      <c r="G34" s="19">
        <v>43533</v>
      </c>
    </row>
    <row r="35" spans="1:7" hidden="1" x14ac:dyDescent="0.25">
      <c r="A35" s="17" t="s">
        <v>34</v>
      </c>
      <c r="B35" s="17" t="s">
        <v>31</v>
      </c>
      <c r="C35" s="17" t="s">
        <v>6</v>
      </c>
      <c r="D35" s="18">
        <v>22</v>
      </c>
      <c r="E35" s="18">
        <v>399</v>
      </c>
      <c r="F35" s="18">
        <f t="shared" si="0"/>
        <v>8778</v>
      </c>
      <c r="G35" s="19">
        <v>43676</v>
      </c>
    </row>
    <row r="36" spans="1:7" hidden="1" x14ac:dyDescent="0.25">
      <c r="A36" s="17" t="s">
        <v>36</v>
      </c>
      <c r="B36" s="17" t="s">
        <v>33</v>
      </c>
      <c r="C36" s="17" t="s">
        <v>22</v>
      </c>
      <c r="D36" s="18">
        <v>24</v>
      </c>
      <c r="E36" s="18">
        <v>299</v>
      </c>
      <c r="F36" s="18">
        <f t="shared" si="0"/>
        <v>7176</v>
      </c>
      <c r="G36" s="19">
        <v>43497</v>
      </c>
    </row>
    <row r="37" spans="1:7" hidden="1" x14ac:dyDescent="0.25">
      <c r="A37" s="17" t="s">
        <v>30</v>
      </c>
      <c r="B37" s="17" t="s">
        <v>35</v>
      </c>
      <c r="C37" s="17" t="s">
        <v>6</v>
      </c>
      <c r="D37" s="18">
        <v>10</v>
      </c>
      <c r="E37" s="18">
        <v>99</v>
      </c>
      <c r="F37" s="18">
        <f t="shared" si="0"/>
        <v>990</v>
      </c>
      <c r="G37" s="19">
        <v>43752</v>
      </c>
    </row>
    <row r="38" spans="1:7" hidden="1" x14ac:dyDescent="0.25">
      <c r="A38" s="17" t="s">
        <v>32</v>
      </c>
      <c r="B38" s="17" t="s">
        <v>31</v>
      </c>
      <c r="C38" s="17" t="s">
        <v>22</v>
      </c>
      <c r="D38" s="18">
        <v>12</v>
      </c>
      <c r="E38" s="18">
        <v>399</v>
      </c>
      <c r="F38" s="18">
        <f t="shared" si="0"/>
        <v>4788</v>
      </c>
      <c r="G38" s="19">
        <v>43592</v>
      </c>
    </row>
  </sheetData>
  <sheetProtection selectLockedCells="1"/>
  <autoFilter ref="A4:G38" xr:uid="{B5ADD512-1D91-478B-B488-415CC89DECB9}">
    <filterColumn colId="0">
      <filters>
        <filter val="EVA"/>
        <filter val="JUAN"/>
      </filters>
    </filterColumn>
    <filterColumn colId="1">
      <filters>
        <filter val="ORDENADOR"/>
        <filter val="TV"/>
      </filters>
    </filterColumn>
    <filterColumn colId="5">
      <customFilters and="1">
        <customFilter operator="lessThan" val="3000"/>
        <customFilter operator="greaterThanOrEqual" val="1000"/>
      </customFilters>
    </filterColumn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18D1-755B-4BE4-9009-8D6F31F7EDE8}">
  <dimension ref="A1:L14"/>
  <sheetViews>
    <sheetView zoomScale="145" zoomScaleNormal="145" workbookViewId="0">
      <selection activeCell="H7" sqref="H7"/>
    </sheetView>
  </sheetViews>
  <sheetFormatPr baseColWidth="10" defaultColWidth="11.5703125" defaultRowHeight="15" x14ac:dyDescent="0.25"/>
  <cols>
    <col min="1" max="1" width="11.5703125" style="11"/>
    <col min="2" max="2" width="6.5703125" style="11" customWidth="1"/>
    <col min="3" max="3" width="26.42578125" style="11" customWidth="1"/>
    <col min="4" max="4" width="14.28515625" style="11" customWidth="1"/>
    <col min="5" max="5" width="11.5703125" style="11"/>
    <col min="6" max="6" width="4" style="11" customWidth="1"/>
    <col min="7" max="7" width="11.5703125" style="11"/>
    <col min="8" max="8" width="21.28515625" style="11" customWidth="1"/>
    <col min="9" max="9" width="11.5703125" style="11"/>
    <col min="10" max="10" width="11.85546875" style="11" bestFit="1" customWidth="1"/>
    <col min="11" max="11" width="11.5703125" style="11"/>
    <col min="12" max="12" width="16.140625" style="11" bestFit="1" customWidth="1"/>
    <col min="13" max="16384" width="11.5703125" style="11"/>
  </cols>
  <sheetData>
    <row r="1" spans="1:12" x14ac:dyDescent="0.25">
      <c r="A1" s="10" t="s">
        <v>62</v>
      </c>
      <c r="B1" s="14">
        <f>+F2</f>
        <v>0</v>
      </c>
    </row>
    <row r="2" spans="1:12" x14ac:dyDescent="0.25">
      <c r="E2" s="10" t="s">
        <v>127</v>
      </c>
      <c r="F2" s="15"/>
      <c r="G2" s="22">
        <v>2</v>
      </c>
    </row>
    <row r="6" spans="1:12" x14ac:dyDescent="0.25">
      <c r="H6" s="23" t="s">
        <v>76</v>
      </c>
      <c r="J6" s="23" t="s">
        <v>77</v>
      </c>
      <c r="L6" s="23" t="s">
        <v>119</v>
      </c>
    </row>
    <row r="7" spans="1:12" x14ac:dyDescent="0.25">
      <c r="H7" s="10" t="s">
        <v>77</v>
      </c>
      <c r="J7" s="24" t="s">
        <v>78</v>
      </c>
      <c r="L7" s="25" t="s">
        <v>79</v>
      </c>
    </row>
    <row r="8" spans="1:12" x14ac:dyDescent="0.25">
      <c r="H8" s="10" t="s">
        <v>119</v>
      </c>
      <c r="J8" s="24" t="s">
        <v>80</v>
      </c>
      <c r="L8" s="25" t="s">
        <v>81</v>
      </c>
    </row>
    <row r="9" spans="1:12" x14ac:dyDescent="0.25">
      <c r="J9" s="24" t="s">
        <v>82</v>
      </c>
      <c r="L9" s="25" t="s">
        <v>83</v>
      </c>
    </row>
    <row r="10" spans="1:12" x14ac:dyDescent="0.25">
      <c r="J10" s="24" t="s">
        <v>84</v>
      </c>
      <c r="L10" s="25" t="s">
        <v>85</v>
      </c>
    </row>
    <row r="11" spans="1:12" ht="15.75" thickBot="1" x14ac:dyDescent="0.3">
      <c r="J11" s="26"/>
      <c r="L11" s="25" t="s">
        <v>87</v>
      </c>
    </row>
    <row r="12" spans="1:12" ht="15.75" thickBot="1" x14ac:dyDescent="0.3">
      <c r="C12" s="27" t="s">
        <v>76</v>
      </c>
      <c r="D12" s="28"/>
      <c r="L12" s="26" t="s">
        <v>88</v>
      </c>
    </row>
    <row r="13" spans="1:12" x14ac:dyDescent="0.25">
      <c r="C13" s="29" t="s">
        <v>86</v>
      </c>
      <c r="D13" s="30"/>
    </row>
    <row r="14" spans="1:12" x14ac:dyDescent="0.25">
      <c r="H14" s="31"/>
    </row>
  </sheetData>
  <sheetProtection selectLockedCell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B024-4225-4A1A-8ED0-363689221F5F}">
  <dimension ref="A1:O98"/>
  <sheetViews>
    <sheetView topLeftCell="A2" zoomScale="85" zoomScaleNormal="85" workbookViewId="0">
      <selection activeCell="V28" sqref="V28"/>
    </sheetView>
  </sheetViews>
  <sheetFormatPr baseColWidth="10" defaultColWidth="9.140625" defaultRowHeight="15" x14ac:dyDescent="0.25"/>
  <cols>
    <col min="1" max="2" width="16.85546875" style="11" customWidth="1"/>
    <col min="3" max="3" width="10.42578125" style="11" customWidth="1"/>
    <col min="4" max="5" width="16.28515625" style="11" customWidth="1"/>
    <col min="6" max="8" width="16.85546875" style="11" customWidth="1"/>
    <col min="9" max="9" width="16.85546875" style="32" customWidth="1"/>
    <col min="10" max="11" width="9.140625" style="11"/>
    <col min="12" max="12" width="16.42578125" style="11" customWidth="1"/>
    <col min="13" max="13" width="25.140625" style="11" customWidth="1"/>
    <col min="14" max="14" width="4.7109375" style="11" customWidth="1"/>
    <col min="15" max="15" width="6.5703125" style="11" customWidth="1"/>
    <col min="16" max="16384" width="9.140625" style="11"/>
  </cols>
  <sheetData>
    <row r="1" spans="1:15" x14ac:dyDescent="0.25">
      <c r="A1" s="10" t="s">
        <v>62</v>
      </c>
      <c r="B1" s="14">
        <f>+N6</f>
        <v>0</v>
      </c>
      <c r="I1" s="11"/>
    </row>
    <row r="2" spans="1:15" x14ac:dyDescent="0.25">
      <c r="A2" s="12"/>
      <c r="I2" s="11"/>
      <c r="M2" s="10" t="s">
        <v>63</v>
      </c>
      <c r="N2" s="15"/>
      <c r="O2" s="10">
        <v>0.5</v>
      </c>
    </row>
    <row r="3" spans="1:15" x14ac:dyDescent="0.25">
      <c r="A3" s="32" t="s">
        <v>89</v>
      </c>
      <c r="B3" s="32" t="s">
        <v>90</v>
      </c>
      <c r="C3" s="32" t="s">
        <v>0</v>
      </c>
      <c r="D3" s="32" t="s">
        <v>91</v>
      </c>
      <c r="E3" s="32" t="s">
        <v>63</v>
      </c>
      <c r="F3" s="32" t="s">
        <v>92</v>
      </c>
      <c r="G3" s="32" t="s">
        <v>93</v>
      </c>
      <c r="H3" s="32" t="s">
        <v>94</v>
      </c>
      <c r="I3" s="32" t="s">
        <v>95</v>
      </c>
      <c r="M3" s="10" t="s">
        <v>124</v>
      </c>
      <c r="N3" s="15"/>
      <c r="O3" s="10">
        <v>0.75</v>
      </c>
    </row>
    <row r="4" spans="1:15" x14ac:dyDescent="0.25">
      <c r="A4" s="11" t="s">
        <v>96</v>
      </c>
      <c r="B4" s="11" t="s">
        <v>97</v>
      </c>
      <c r="C4" s="32" t="s">
        <v>98</v>
      </c>
      <c r="D4" s="11">
        <v>649</v>
      </c>
      <c r="F4" s="33">
        <v>32450</v>
      </c>
      <c r="G4" s="33">
        <v>27450</v>
      </c>
      <c r="H4" s="20">
        <v>43559</v>
      </c>
      <c r="I4" s="32" t="s">
        <v>99</v>
      </c>
      <c r="M4" s="10" t="s">
        <v>125</v>
      </c>
      <c r="N4" s="35"/>
      <c r="O4" s="10">
        <v>0.75</v>
      </c>
    </row>
    <row r="5" spans="1:15" x14ac:dyDescent="0.25">
      <c r="A5" s="11" t="s">
        <v>100</v>
      </c>
      <c r="B5" s="11" t="s">
        <v>101</v>
      </c>
      <c r="C5" s="32" t="s">
        <v>102</v>
      </c>
      <c r="D5" s="11">
        <v>292</v>
      </c>
      <c r="F5" s="33">
        <v>7008</v>
      </c>
      <c r="G5" s="33">
        <v>2008</v>
      </c>
      <c r="H5" s="20">
        <v>43563</v>
      </c>
      <c r="I5" s="32" t="s">
        <v>99</v>
      </c>
      <c r="M5" s="10" t="s">
        <v>126</v>
      </c>
      <c r="N5" s="15"/>
      <c r="O5" s="10">
        <v>2.5</v>
      </c>
    </row>
    <row r="6" spans="1:15" x14ac:dyDescent="0.25">
      <c r="A6" s="11" t="s">
        <v>100</v>
      </c>
      <c r="B6" s="11" t="s">
        <v>103</v>
      </c>
      <c r="C6" s="32" t="s">
        <v>104</v>
      </c>
      <c r="D6" s="11">
        <v>1232</v>
      </c>
      <c r="F6" s="33">
        <v>34496</v>
      </c>
      <c r="G6" s="33">
        <v>29496</v>
      </c>
      <c r="H6" s="20">
        <v>43567</v>
      </c>
      <c r="I6" s="32" t="s">
        <v>99</v>
      </c>
      <c r="K6" s="31"/>
      <c r="N6" s="15">
        <f>SUM(N2:N5)</f>
        <v>0</v>
      </c>
    </row>
    <row r="7" spans="1:15" x14ac:dyDescent="0.25">
      <c r="A7" s="11" t="s">
        <v>105</v>
      </c>
      <c r="B7" s="11" t="s">
        <v>97</v>
      </c>
      <c r="C7" s="32" t="s">
        <v>81</v>
      </c>
      <c r="D7" s="11">
        <v>133</v>
      </c>
      <c r="F7" s="33">
        <v>4655</v>
      </c>
      <c r="G7" s="33">
        <v>500</v>
      </c>
      <c r="H7" s="20">
        <v>43571</v>
      </c>
      <c r="I7" s="32" t="s">
        <v>99</v>
      </c>
    </row>
    <row r="8" spans="1:15" x14ac:dyDescent="0.25">
      <c r="A8" s="11" t="s">
        <v>100</v>
      </c>
      <c r="B8" s="11" t="s">
        <v>101</v>
      </c>
      <c r="C8" s="32" t="s">
        <v>98</v>
      </c>
      <c r="D8" s="11">
        <v>483</v>
      </c>
      <c r="F8" s="33">
        <v>24150</v>
      </c>
      <c r="G8" s="33">
        <v>19150</v>
      </c>
      <c r="H8" s="20">
        <v>43575</v>
      </c>
      <c r="I8" s="32" t="s">
        <v>99</v>
      </c>
    </row>
    <row r="9" spans="1:15" x14ac:dyDescent="0.25">
      <c r="A9" s="11" t="s">
        <v>100</v>
      </c>
      <c r="B9" s="11" t="s">
        <v>97</v>
      </c>
      <c r="C9" s="32" t="s">
        <v>104</v>
      </c>
      <c r="D9" s="11">
        <v>334</v>
      </c>
      <c r="F9" s="33">
        <v>9352</v>
      </c>
      <c r="G9" s="33">
        <v>4352</v>
      </c>
      <c r="H9" s="20">
        <v>43558</v>
      </c>
      <c r="I9" s="32" t="s">
        <v>99</v>
      </c>
    </row>
    <row r="10" spans="1:15" x14ac:dyDescent="0.25">
      <c r="A10" s="11" t="s">
        <v>96</v>
      </c>
      <c r="B10" s="11" t="s">
        <v>103</v>
      </c>
      <c r="C10" s="32" t="s">
        <v>81</v>
      </c>
      <c r="D10" s="11">
        <v>158</v>
      </c>
      <c r="F10" s="33">
        <v>5530</v>
      </c>
      <c r="G10" s="33">
        <v>530</v>
      </c>
      <c r="H10" s="20">
        <v>43578</v>
      </c>
      <c r="I10" s="32" t="s">
        <v>99</v>
      </c>
    </row>
    <row r="11" spans="1:15" x14ac:dyDescent="0.25">
      <c r="A11" s="11" t="s">
        <v>105</v>
      </c>
      <c r="B11" s="11" t="s">
        <v>103</v>
      </c>
      <c r="C11" s="32" t="s">
        <v>104</v>
      </c>
      <c r="D11" s="11">
        <v>96</v>
      </c>
      <c r="F11" s="33">
        <v>2688</v>
      </c>
      <c r="G11" s="33">
        <v>500</v>
      </c>
      <c r="H11" s="20">
        <v>43559</v>
      </c>
      <c r="I11" s="32" t="s">
        <v>99</v>
      </c>
      <c r="L11" s="11" t="s">
        <v>115</v>
      </c>
    </row>
    <row r="12" spans="1:15" x14ac:dyDescent="0.25">
      <c r="A12" s="11" t="s">
        <v>100</v>
      </c>
      <c r="B12" s="11" t="s">
        <v>97</v>
      </c>
      <c r="C12" s="32" t="s">
        <v>81</v>
      </c>
      <c r="D12" s="11">
        <v>367</v>
      </c>
      <c r="F12" s="33">
        <v>12845</v>
      </c>
      <c r="G12" s="33">
        <v>7845</v>
      </c>
      <c r="H12" s="20">
        <v>43563</v>
      </c>
      <c r="I12" s="32" t="s">
        <v>99</v>
      </c>
    </row>
    <row r="13" spans="1:15" x14ac:dyDescent="0.25">
      <c r="A13" s="11" t="s">
        <v>100</v>
      </c>
      <c r="B13" s="11" t="s">
        <v>101</v>
      </c>
      <c r="C13" s="32" t="s">
        <v>98</v>
      </c>
      <c r="D13" s="11">
        <v>348</v>
      </c>
      <c r="F13" s="33">
        <v>17400</v>
      </c>
      <c r="G13" s="33">
        <v>12400</v>
      </c>
      <c r="H13" s="20">
        <v>43567</v>
      </c>
      <c r="I13" s="32" t="s">
        <v>99</v>
      </c>
      <c r="L13" s="11" t="s">
        <v>117</v>
      </c>
    </row>
    <row r="14" spans="1:15" x14ac:dyDescent="0.25">
      <c r="A14" s="11" t="s">
        <v>100</v>
      </c>
      <c r="B14" s="11" t="s">
        <v>103</v>
      </c>
      <c r="C14" s="32" t="s">
        <v>102</v>
      </c>
      <c r="D14" s="11">
        <v>303</v>
      </c>
      <c r="F14" s="33">
        <v>7272</v>
      </c>
      <c r="G14" s="33">
        <v>2272</v>
      </c>
      <c r="H14" s="20">
        <v>43571</v>
      </c>
      <c r="I14" s="32" t="s">
        <v>99</v>
      </c>
      <c r="L14" s="11" t="s">
        <v>116</v>
      </c>
    </row>
    <row r="15" spans="1:15" x14ac:dyDescent="0.25">
      <c r="A15" s="11" t="s">
        <v>105</v>
      </c>
      <c r="B15" s="11" t="s">
        <v>97</v>
      </c>
      <c r="C15" s="32" t="s">
        <v>104</v>
      </c>
      <c r="D15" s="11">
        <v>415</v>
      </c>
      <c r="F15" s="33">
        <v>11620</v>
      </c>
      <c r="G15" s="33">
        <v>6620</v>
      </c>
      <c r="H15" s="20">
        <v>43575</v>
      </c>
      <c r="I15" s="32" t="s">
        <v>99</v>
      </c>
      <c r="L15" s="10" t="s">
        <v>24</v>
      </c>
      <c r="M15" s="10" t="s">
        <v>63</v>
      </c>
    </row>
    <row r="16" spans="1:15" x14ac:dyDescent="0.25">
      <c r="A16" s="11" t="s">
        <v>96</v>
      </c>
      <c r="B16" s="11" t="s">
        <v>101</v>
      </c>
      <c r="C16" s="32" t="s">
        <v>81</v>
      </c>
      <c r="D16" s="11">
        <v>46</v>
      </c>
      <c r="F16" s="33">
        <v>1610</v>
      </c>
      <c r="G16" s="33">
        <v>500</v>
      </c>
      <c r="H16" s="20">
        <v>43579</v>
      </c>
      <c r="I16" s="32" t="s">
        <v>99</v>
      </c>
      <c r="L16" s="10" t="s">
        <v>102</v>
      </c>
      <c r="M16" s="10">
        <f>+Tabla1[[#This Row],[Ingresos]]/Tabla1[[#This Row],[Cantidad vendida]]</f>
        <v>35</v>
      </c>
      <c r="N16" s="11">
        <v>35</v>
      </c>
    </row>
    <row r="17" spans="1:14" x14ac:dyDescent="0.25">
      <c r="A17" s="11" t="s">
        <v>96</v>
      </c>
      <c r="B17" s="11" t="s">
        <v>103</v>
      </c>
      <c r="C17" s="32" t="s">
        <v>98</v>
      </c>
      <c r="D17" s="11">
        <v>85</v>
      </c>
      <c r="F17" s="33">
        <v>4250</v>
      </c>
      <c r="G17" s="33">
        <v>500</v>
      </c>
      <c r="H17" s="20">
        <v>43583</v>
      </c>
      <c r="I17" s="32" t="s">
        <v>99</v>
      </c>
      <c r="L17" s="34" t="s">
        <v>104</v>
      </c>
      <c r="M17" s="10">
        <f>+Tabla1[[#This Row],[Ingresos]]/Tabla1[[#This Row],[Cantidad vendida]]</f>
        <v>50</v>
      </c>
      <c r="N17" s="11">
        <v>50</v>
      </c>
    </row>
    <row r="18" spans="1:14" x14ac:dyDescent="0.25">
      <c r="A18" s="11" t="s">
        <v>96</v>
      </c>
      <c r="B18" s="11" t="s">
        <v>103</v>
      </c>
      <c r="C18" s="32" t="s">
        <v>98</v>
      </c>
      <c r="D18" s="11">
        <v>473</v>
      </c>
      <c r="F18" s="33">
        <v>23650</v>
      </c>
      <c r="G18" s="33">
        <v>18650</v>
      </c>
      <c r="H18" s="20">
        <v>43576</v>
      </c>
      <c r="I18" s="32" t="s">
        <v>99</v>
      </c>
      <c r="L18" s="34" t="s">
        <v>81</v>
      </c>
      <c r="M18" s="10">
        <f>+Tabla1[[#This Row],[Ingresos]]/Tabla1[[#This Row],[Cantidad vendida]]</f>
        <v>50</v>
      </c>
      <c r="N18" s="11">
        <v>50</v>
      </c>
    </row>
    <row r="19" spans="1:14" x14ac:dyDescent="0.25">
      <c r="A19" s="11" t="s">
        <v>100</v>
      </c>
      <c r="B19" s="11" t="s">
        <v>101</v>
      </c>
      <c r="C19" s="32" t="s">
        <v>104</v>
      </c>
      <c r="D19" s="11">
        <v>334</v>
      </c>
      <c r="F19" s="33">
        <v>9352</v>
      </c>
      <c r="G19" s="33">
        <v>4352</v>
      </c>
      <c r="H19" s="20">
        <v>43558</v>
      </c>
      <c r="I19" s="32" t="s">
        <v>99</v>
      </c>
      <c r="L19" s="34" t="s">
        <v>98</v>
      </c>
      <c r="M19" s="10">
        <f>+Tabla1[[#This Row],[Ingresos]]/Tabla1[[#This Row],[Cantidad vendida]]</f>
        <v>28</v>
      </c>
      <c r="N19" s="11">
        <v>28</v>
      </c>
    </row>
    <row r="20" spans="1:14" x14ac:dyDescent="0.25">
      <c r="A20" s="11" t="s">
        <v>96</v>
      </c>
      <c r="B20" s="11" t="s">
        <v>97</v>
      </c>
      <c r="C20" s="32" t="s">
        <v>81</v>
      </c>
      <c r="D20" s="11">
        <v>158</v>
      </c>
      <c r="F20" s="33">
        <v>5530</v>
      </c>
      <c r="G20" s="33">
        <v>530</v>
      </c>
      <c r="H20" s="20">
        <v>43578</v>
      </c>
      <c r="I20" s="32" t="s">
        <v>99</v>
      </c>
    </row>
    <row r="21" spans="1:14" x14ac:dyDescent="0.25">
      <c r="A21" s="11" t="s">
        <v>96</v>
      </c>
      <c r="B21" s="11" t="s">
        <v>103</v>
      </c>
      <c r="C21" s="32" t="s">
        <v>81</v>
      </c>
      <c r="D21" s="11">
        <v>724</v>
      </c>
      <c r="F21" s="33">
        <v>25340</v>
      </c>
      <c r="G21" s="33">
        <v>20340</v>
      </c>
      <c r="H21" s="20">
        <v>43494</v>
      </c>
      <c r="I21" s="32" t="s">
        <v>106</v>
      </c>
    </row>
    <row r="22" spans="1:14" x14ac:dyDescent="0.25">
      <c r="A22" s="11" t="s">
        <v>100</v>
      </c>
      <c r="B22" s="11" t="s">
        <v>103</v>
      </c>
      <c r="C22" s="32" t="s">
        <v>102</v>
      </c>
      <c r="D22" s="11">
        <v>166</v>
      </c>
      <c r="F22" s="33">
        <v>3984</v>
      </c>
      <c r="G22" s="33">
        <v>500</v>
      </c>
      <c r="H22" s="20">
        <v>43494</v>
      </c>
      <c r="I22" s="32" t="s">
        <v>106</v>
      </c>
      <c r="L22" s="11" t="s">
        <v>118</v>
      </c>
    </row>
    <row r="23" spans="1:14" x14ac:dyDescent="0.25">
      <c r="A23" s="11" t="s">
        <v>100</v>
      </c>
      <c r="B23" s="11" t="s">
        <v>97</v>
      </c>
      <c r="C23" s="32" t="s">
        <v>104</v>
      </c>
      <c r="D23" s="11">
        <v>690</v>
      </c>
      <c r="F23" s="33">
        <v>19320</v>
      </c>
      <c r="G23" s="33">
        <v>14320</v>
      </c>
      <c r="H23" s="20">
        <v>43494</v>
      </c>
      <c r="I23" s="32" t="s">
        <v>106</v>
      </c>
    </row>
    <row r="24" spans="1:14" x14ac:dyDescent="0.25">
      <c r="A24" s="11" t="s">
        <v>100</v>
      </c>
      <c r="B24" s="11" t="s">
        <v>103</v>
      </c>
      <c r="C24" s="32" t="s">
        <v>98</v>
      </c>
      <c r="D24" s="11">
        <v>837</v>
      </c>
      <c r="F24" s="33">
        <v>41850</v>
      </c>
      <c r="G24" s="33">
        <v>36850</v>
      </c>
      <c r="H24" s="20">
        <v>43494</v>
      </c>
      <c r="I24" s="32" t="s">
        <v>106</v>
      </c>
    </row>
    <row r="25" spans="1:14" x14ac:dyDescent="0.25">
      <c r="A25" s="11" t="s">
        <v>105</v>
      </c>
      <c r="B25" s="11" t="s">
        <v>97</v>
      </c>
      <c r="C25" s="32" t="s">
        <v>81</v>
      </c>
      <c r="D25" s="11">
        <v>169</v>
      </c>
      <c r="F25" s="33">
        <v>5915</v>
      </c>
      <c r="G25" s="33">
        <v>915</v>
      </c>
      <c r="H25" s="20">
        <v>43494</v>
      </c>
      <c r="I25" s="32" t="s">
        <v>106</v>
      </c>
    </row>
    <row r="26" spans="1:14" x14ac:dyDescent="0.25">
      <c r="A26" s="11" t="s">
        <v>96</v>
      </c>
      <c r="B26" s="11" t="s">
        <v>103</v>
      </c>
      <c r="C26" s="32" t="s">
        <v>102</v>
      </c>
      <c r="D26" s="11">
        <v>67</v>
      </c>
      <c r="F26" s="33">
        <v>1608</v>
      </c>
      <c r="G26" s="33">
        <v>500</v>
      </c>
      <c r="H26" s="20">
        <v>43494</v>
      </c>
      <c r="I26" s="32" t="s">
        <v>106</v>
      </c>
    </row>
    <row r="27" spans="1:14" x14ac:dyDescent="0.25">
      <c r="A27" s="11" t="s">
        <v>100</v>
      </c>
      <c r="B27" s="11" t="s">
        <v>97</v>
      </c>
      <c r="C27" s="32" t="s">
        <v>104</v>
      </c>
      <c r="D27" s="11">
        <v>131</v>
      </c>
      <c r="F27" s="33">
        <v>3668</v>
      </c>
      <c r="G27" s="33">
        <v>500</v>
      </c>
      <c r="H27" s="20">
        <v>43494</v>
      </c>
      <c r="I27" s="32" t="s">
        <v>106</v>
      </c>
    </row>
    <row r="28" spans="1:14" x14ac:dyDescent="0.25">
      <c r="A28" s="11" t="s">
        <v>100</v>
      </c>
      <c r="B28" s="11" t="s">
        <v>101</v>
      </c>
      <c r="C28" s="32" t="s">
        <v>81</v>
      </c>
      <c r="D28" s="11">
        <v>272</v>
      </c>
      <c r="F28" s="33">
        <v>9520</v>
      </c>
      <c r="G28" s="33">
        <v>4520</v>
      </c>
      <c r="H28" s="20">
        <v>43494</v>
      </c>
      <c r="I28" s="32" t="s">
        <v>106</v>
      </c>
    </row>
    <row r="29" spans="1:14" x14ac:dyDescent="0.25">
      <c r="A29" s="11" t="s">
        <v>105</v>
      </c>
      <c r="B29" s="11" t="s">
        <v>103</v>
      </c>
      <c r="C29" s="32" t="s">
        <v>98</v>
      </c>
      <c r="D29" s="11">
        <v>422</v>
      </c>
      <c r="F29" s="33">
        <v>21100</v>
      </c>
      <c r="G29" s="33">
        <v>16100</v>
      </c>
      <c r="H29" s="20">
        <v>43494</v>
      </c>
      <c r="I29" s="32" t="s">
        <v>106</v>
      </c>
    </row>
    <row r="30" spans="1:14" x14ac:dyDescent="0.25">
      <c r="A30" s="11" t="s">
        <v>100</v>
      </c>
      <c r="B30" s="11" t="s">
        <v>97</v>
      </c>
      <c r="C30" s="32" t="s">
        <v>102</v>
      </c>
      <c r="D30" s="11">
        <v>387</v>
      </c>
      <c r="F30" s="33">
        <v>9288</v>
      </c>
      <c r="G30" s="33">
        <v>4288</v>
      </c>
      <c r="H30" s="20">
        <v>43494</v>
      </c>
      <c r="I30" s="32" t="s">
        <v>106</v>
      </c>
    </row>
    <row r="31" spans="1:14" x14ac:dyDescent="0.25">
      <c r="A31" s="11" t="s">
        <v>96</v>
      </c>
      <c r="B31" s="11" t="s">
        <v>101</v>
      </c>
      <c r="C31" s="32" t="s">
        <v>81</v>
      </c>
      <c r="D31" s="11">
        <v>314</v>
      </c>
      <c r="F31" s="33">
        <v>10990</v>
      </c>
      <c r="G31" s="33">
        <v>5990</v>
      </c>
      <c r="H31" s="20">
        <v>43494</v>
      </c>
      <c r="I31" s="32" t="s">
        <v>106</v>
      </c>
    </row>
    <row r="32" spans="1:14" x14ac:dyDescent="0.25">
      <c r="A32" s="11" t="s">
        <v>100</v>
      </c>
      <c r="B32" s="11" t="s">
        <v>97</v>
      </c>
      <c r="C32" s="32" t="s">
        <v>98</v>
      </c>
      <c r="D32" s="11">
        <v>837</v>
      </c>
      <c r="F32" s="33">
        <v>41850</v>
      </c>
      <c r="G32" s="33">
        <v>36850</v>
      </c>
      <c r="H32" s="20">
        <v>43494</v>
      </c>
      <c r="I32" s="32" t="s">
        <v>106</v>
      </c>
    </row>
    <row r="33" spans="1:9" x14ac:dyDescent="0.25">
      <c r="A33" s="11" t="s">
        <v>96</v>
      </c>
      <c r="B33" s="11" t="s">
        <v>97</v>
      </c>
      <c r="C33" s="32" t="s">
        <v>81</v>
      </c>
      <c r="D33" s="11">
        <v>356</v>
      </c>
      <c r="F33" s="33">
        <v>12460</v>
      </c>
      <c r="G33" s="33">
        <v>7460</v>
      </c>
      <c r="H33" s="20">
        <v>43494</v>
      </c>
      <c r="I33" s="32" t="s">
        <v>106</v>
      </c>
    </row>
    <row r="34" spans="1:9" x14ac:dyDescent="0.25">
      <c r="A34" s="11" t="s">
        <v>105</v>
      </c>
      <c r="B34" s="11" t="s">
        <v>97</v>
      </c>
      <c r="C34" s="32" t="s">
        <v>102</v>
      </c>
      <c r="D34" s="11">
        <v>586</v>
      </c>
      <c r="F34" s="33">
        <v>14064</v>
      </c>
      <c r="G34" s="33">
        <v>9064</v>
      </c>
      <c r="H34" s="20">
        <v>43499</v>
      </c>
      <c r="I34" s="32" t="s">
        <v>107</v>
      </c>
    </row>
    <row r="35" spans="1:9" x14ac:dyDescent="0.25">
      <c r="A35" s="11" t="s">
        <v>100</v>
      </c>
      <c r="B35" s="11" t="s">
        <v>101</v>
      </c>
      <c r="C35" s="32" t="s">
        <v>104</v>
      </c>
      <c r="D35" s="11">
        <v>1037</v>
      </c>
      <c r="F35" s="33">
        <v>29036</v>
      </c>
      <c r="G35" s="33">
        <v>24036</v>
      </c>
      <c r="H35" s="20">
        <v>43503</v>
      </c>
      <c r="I35" s="32" t="s">
        <v>107</v>
      </c>
    </row>
    <row r="36" spans="1:9" x14ac:dyDescent="0.25">
      <c r="A36" s="11" t="s">
        <v>100</v>
      </c>
      <c r="B36" s="11" t="s">
        <v>103</v>
      </c>
      <c r="C36" s="32" t="s">
        <v>81</v>
      </c>
      <c r="D36" s="11">
        <v>972</v>
      </c>
      <c r="F36" s="33">
        <v>34020</v>
      </c>
      <c r="G36" s="33">
        <v>29020</v>
      </c>
      <c r="H36" s="20">
        <v>43507</v>
      </c>
      <c r="I36" s="32" t="s">
        <v>107</v>
      </c>
    </row>
    <row r="37" spans="1:9" x14ac:dyDescent="0.25">
      <c r="A37" s="11" t="s">
        <v>100</v>
      </c>
      <c r="B37" s="11" t="s">
        <v>97</v>
      </c>
      <c r="C37" s="32" t="s">
        <v>98</v>
      </c>
      <c r="D37" s="11">
        <v>798</v>
      </c>
      <c r="F37" s="33">
        <v>39900</v>
      </c>
      <c r="G37" s="33">
        <v>34900</v>
      </c>
      <c r="H37" s="20">
        <v>43511</v>
      </c>
      <c r="I37" s="32" t="s">
        <v>107</v>
      </c>
    </row>
    <row r="38" spans="1:9" x14ac:dyDescent="0.25">
      <c r="A38" s="11" t="s">
        <v>105</v>
      </c>
      <c r="B38" s="11" t="s">
        <v>101</v>
      </c>
      <c r="C38" s="32" t="s">
        <v>102</v>
      </c>
      <c r="D38" s="11">
        <v>960</v>
      </c>
      <c r="F38" s="33">
        <v>23040</v>
      </c>
      <c r="G38" s="33">
        <v>18040</v>
      </c>
      <c r="H38" s="20">
        <v>43515</v>
      </c>
      <c r="I38" s="32" t="s">
        <v>107</v>
      </c>
    </row>
    <row r="39" spans="1:9" x14ac:dyDescent="0.25">
      <c r="A39" s="11" t="s">
        <v>96</v>
      </c>
      <c r="B39" s="11" t="s">
        <v>103</v>
      </c>
      <c r="C39" s="32" t="s">
        <v>104</v>
      </c>
      <c r="D39" s="11">
        <v>431</v>
      </c>
      <c r="F39" s="33">
        <v>12068</v>
      </c>
      <c r="G39" s="33">
        <v>7068</v>
      </c>
      <c r="H39" s="20">
        <v>43519</v>
      </c>
      <c r="I39" s="32" t="s">
        <v>107</v>
      </c>
    </row>
    <row r="40" spans="1:9" x14ac:dyDescent="0.25">
      <c r="A40" s="11" t="s">
        <v>96</v>
      </c>
      <c r="B40" s="11" t="s">
        <v>97</v>
      </c>
      <c r="C40" s="32" t="s">
        <v>81</v>
      </c>
      <c r="D40" s="11">
        <v>178</v>
      </c>
      <c r="F40" s="33">
        <v>6230</v>
      </c>
      <c r="G40" s="33">
        <v>1230</v>
      </c>
      <c r="H40" s="20">
        <v>43523</v>
      </c>
      <c r="I40" s="32" t="s">
        <v>107</v>
      </c>
    </row>
    <row r="41" spans="1:9" x14ac:dyDescent="0.25">
      <c r="A41" s="11" t="s">
        <v>100</v>
      </c>
      <c r="B41" s="11" t="s">
        <v>101</v>
      </c>
      <c r="C41" s="32" t="s">
        <v>81</v>
      </c>
      <c r="D41" s="11">
        <v>620</v>
      </c>
      <c r="F41" s="33">
        <v>21700</v>
      </c>
      <c r="G41" s="33">
        <v>16700</v>
      </c>
      <c r="H41" s="20">
        <v>43503</v>
      </c>
      <c r="I41" s="32" t="s">
        <v>107</v>
      </c>
    </row>
    <row r="42" spans="1:9" x14ac:dyDescent="0.25">
      <c r="A42" s="11" t="s">
        <v>96</v>
      </c>
      <c r="B42" s="11" t="s">
        <v>101</v>
      </c>
      <c r="C42" s="32" t="s">
        <v>102</v>
      </c>
      <c r="D42" s="11">
        <v>183</v>
      </c>
      <c r="F42" s="33">
        <v>4392</v>
      </c>
      <c r="G42" s="33">
        <v>500</v>
      </c>
      <c r="H42" s="20">
        <v>43507</v>
      </c>
      <c r="I42" s="32" t="s">
        <v>107</v>
      </c>
    </row>
    <row r="43" spans="1:9" x14ac:dyDescent="0.25">
      <c r="A43" s="11" t="s">
        <v>96</v>
      </c>
      <c r="B43" s="11" t="s">
        <v>103</v>
      </c>
      <c r="C43" s="32" t="s">
        <v>104</v>
      </c>
      <c r="D43" s="11">
        <v>407</v>
      </c>
      <c r="F43" s="33">
        <v>11396</v>
      </c>
      <c r="G43" s="33">
        <v>6396</v>
      </c>
      <c r="H43" s="20">
        <v>43511</v>
      </c>
      <c r="I43" s="32" t="s">
        <v>107</v>
      </c>
    </row>
    <row r="44" spans="1:9" x14ac:dyDescent="0.25">
      <c r="A44" s="11" t="s">
        <v>100</v>
      </c>
      <c r="B44" s="11" t="s">
        <v>97</v>
      </c>
      <c r="C44" s="32" t="s">
        <v>81</v>
      </c>
      <c r="D44" s="11">
        <v>500</v>
      </c>
      <c r="F44" s="33">
        <v>17500</v>
      </c>
      <c r="G44" s="33">
        <v>12500</v>
      </c>
      <c r="H44" s="20">
        <v>43515</v>
      </c>
      <c r="I44" s="32" t="s">
        <v>107</v>
      </c>
    </row>
    <row r="45" spans="1:9" x14ac:dyDescent="0.25">
      <c r="A45" s="11" t="s">
        <v>100</v>
      </c>
      <c r="B45" s="11" t="s">
        <v>101</v>
      </c>
      <c r="C45" s="32" t="s">
        <v>98</v>
      </c>
      <c r="D45" s="11">
        <v>375</v>
      </c>
      <c r="F45" s="33">
        <v>18750</v>
      </c>
      <c r="G45" s="33">
        <v>13750</v>
      </c>
      <c r="H45" s="20">
        <v>43519</v>
      </c>
      <c r="I45" s="32" t="s">
        <v>107</v>
      </c>
    </row>
    <row r="46" spans="1:9" x14ac:dyDescent="0.25">
      <c r="A46" s="11" t="s">
        <v>105</v>
      </c>
      <c r="B46" s="11" t="s">
        <v>103</v>
      </c>
      <c r="C46" s="32" t="s">
        <v>102</v>
      </c>
      <c r="D46" s="11">
        <v>104</v>
      </c>
      <c r="F46" s="33">
        <v>2496</v>
      </c>
      <c r="G46" s="33">
        <v>500</v>
      </c>
      <c r="H46" s="20">
        <v>43523</v>
      </c>
      <c r="I46" s="32" t="s">
        <v>107</v>
      </c>
    </row>
    <row r="47" spans="1:9" x14ac:dyDescent="0.25">
      <c r="A47" s="11" t="s">
        <v>100</v>
      </c>
      <c r="B47" s="11" t="s">
        <v>97</v>
      </c>
      <c r="C47" s="32" t="s">
        <v>81</v>
      </c>
      <c r="D47" s="11">
        <v>90</v>
      </c>
      <c r="F47" s="33">
        <v>3150</v>
      </c>
      <c r="G47" s="33">
        <v>500</v>
      </c>
      <c r="H47" s="20">
        <v>43497</v>
      </c>
      <c r="I47" s="32" t="s">
        <v>107</v>
      </c>
    </row>
    <row r="48" spans="1:9" x14ac:dyDescent="0.25">
      <c r="A48" s="11" t="s">
        <v>96</v>
      </c>
      <c r="B48" s="11" t="s">
        <v>97</v>
      </c>
      <c r="C48" s="32" t="s">
        <v>104</v>
      </c>
      <c r="D48" s="11">
        <v>163</v>
      </c>
      <c r="F48" s="33">
        <v>4564</v>
      </c>
      <c r="G48" s="33">
        <v>500</v>
      </c>
      <c r="H48" s="20">
        <v>43509</v>
      </c>
      <c r="I48" s="32" t="s">
        <v>107</v>
      </c>
    </row>
    <row r="49" spans="1:9" x14ac:dyDescent="0.25">
      <c r="A49" s="11" t="s">
        <v>100</v>
      </c>
      <c r="B49" s="11" t="s">
        <v>103</v>
      </c>
      <c r="C49" s="32" t="s">
        <v>81</v>
      </c>
      <c r="D49" s="11">
        <v>620</v>
      </c>
      <c r="F49" s="33">
        <v>21700</v>
      </c>
      <c r="G49" s="33">
        <v>16700</v>
      </c>
      <c r="H49" s="20">
        <v>43503</v>
      </c>
      <c r="I49" s="32" t="s">
        <v>107</v>
      </c>
    </row>
    <row r="50" spans="1:9" x14ac:dyDescent="0.25">
      <c r="A50" s="11" t="s">
        <v>100</v>
      </c>
      <c r="B50" s="11" t="s">
        <v>97</v>
      </c>
      <c r="C50" s="32" t="s">
        <v>104</v>
      </c>
      <c r="D50" s="11">
        <v>200</v>
      </c>
      <c r="F50" s="33">
        <v>5600</v>
      </c>
      <c r="G50" s="33">
        <v>600</v>
      </c>
      <c r="H50" s="20">
        <v>43499</v>
      </c>
      <c r="I50" s="32" t="s">
        <v>107</v>
      </c>
    </row>
    <row r="51" spans="1:9" x14ac:dyDescent="0.25">
      <c r="A51" s="11" t="s">
        <v>96</v>
      </c>
      <c r="B51" s="11" t="s">
        <v>101</v>
      </c>
      <c r="C51" s="32" t="s">
        <v>104</v>
      </c>
      <c r="D51" s="11">
        <v>400</v>
      </c>
      <c r="F51" s="33">
        <v>11200</v>
      </c>
      <c r="G51" s="33">
        <v>6200</v>
      </c>
      <c r="H51" s="20">
        <v>43499</v>
      </c>
      <c r="I51" s="32" t="s">
        <v>107</v>
      </c>
    </row>
    <row r="52" spans="1:9" x14ac:dyDescent="0.25">
      <c r="A52" s="11" t="s">
        <v>96</v>
      </c>
      <c r="B52" s="11" t="s">
        <v>103</v>
      </c>
      <c r="C52" s="32" t="s">
        <v>102</v>
      </c>
      <c r="D52" s="11">
        <v>689</v>
      </c>
      <c r="F52" s="33">
        <v>16536</v>
      </c>
      <c r="G52" s="33">
        <v>11536</v>
      </c>
      <c r="H52" s="20">
        <v>43634</v>
      </c>
      <c r="I52" s="32" t="s">
        <v>108</v>
      </c>
    </row>
    <row r="53" spans="1:9" x14ac:dyDescent="0.25">
      <c r="A53" s="11" t="s">
        <v>96</v>
      </c>
      <c r="B53" s="11" t="s">
        <v>97</v>
      </c>
      <c r="C53" s="32" t="s">
        <v>104</v>
      </c>
      <c r="D53" s="11">
        <v>592</v>
      </c>
      <c r="F53" s="33">
        <v>16576</v>
      </c>
      <c r="G53" s="33">
        <v>11576</v>
      </c>
      <c r="H53" s="20">
        <v>43634</v>
      </c>
      <c r="I53" s="32" t="s">
        <v>108</v>
      </c>
    </row>
    <row r="54" spans="1:9" x14ac:dyDescent="0.25">
      <c r="A54" s="11" t="s">
        <v>100</v>
      </c>
      <c r="B54" s="11" t="s">
        <v>101</v>
      </c>
      <c r="C54" s="32" t="s">
        <v>81</v>
      </c>
      <c r="D54" s="11">
        <v>1044</v>
      </c>
      <c r="F54" s="33">
        <v>36540</v>
      </c>
      <c r="G54" s="33">
        <v>31540</v>
      </c>
      <c r="H54" s="20">
        <v>43634</v>
      </c>
      <c r="I54" s="32" t="s">
        <v>108</v>
      </c>
    </row>
    <row r="55" spans="1:9" x14ac:dyDescent="0.25">
      <c r="A55" s="11" t="s">
        <v>100</v>
      </c>
      <c r="B55" s="11" t="s">
        <v>103</v>
      </c>
      <c r="C55" s="32" t="s">
        <v>98</v>
      </c>
      <c r="D55" s="11">
        <v>674</v>
      </c>
      <c r="F55" s="33">
        <v>33700</v>
      </c>
      <c r="G55" s="33">
        <v>28700</v>
      </c>
      <c r="H55" s="20">
        <v>43634</v>
      </c>
      <c r="I55" s="32" t="s">
        <v>108</v>
      </c>
    </row>
    <row r="56" spans="1:9" x14ac:dyDescent="0.25">
      <c r="A56" s="11" t="s">
        <v>100</v>
      </c>
      <c r="B56" s="11" t="s">
        <v>97</v>
      </c>
      <c r="C56" s="32" t="s">
        <v>102</v>
      </c>
      <c r="D56" s="11">
        <v>1034</v>
      </c>
      <c r="F56" s="33">
        <v>24816</v>
      </c>
      <c r="G56" s="33">
        <v>19816</v>
      </c>
      <c r="H56" s="20">
        <v>43634</v>
      </c>
      <c r="I56" s="32" t="s">
        <v>108</v>
      </c>
    </row>
    <row r="57" spans="1:9" x14ac:dyDescent="0.25">
      <c r="A57" s="11" t="s">
        <v>105</v>
      </c>
      <c r="B57" s="11" t="s">
        <v>101</v>
      </c>
      <c r="C57" s="32" t="s">
        <v>104</v>
      </c>
      <c r="D57" s="11">
        <v>1029</v>
      </c>
      <c r="F57" s="33">
        <v>28812</v>
      </c>
      <c r="G57" s="33">
        <v>23812</v>
      </c>
      <c r="H57" s="20">
        <v>43634</v>
      </c>
      <c r="I57" s="32" t="s">
        <v>108</v>
      </c>
    </row>
    <row r="58" spans="1:9" x14ac:dyDescent="0.25">
      <c r="A58" s="11" t="s">
        <v>100</v>
      </c>
      <c r="B58" s="11" t="s">
        <v>103</v>
      </c>
      <c r="C58" s="32" t="s">
        <v>102</v>
      </c>
      <c r="D58" s="11">
        <v>777</v>
      </c>
      <c r="F58" s="33">
        <v>18648</v>
      </c>
      <c r="G58" s="33">
        <v>13648</v>
      </c>
      <c r="H58" s="20">
        <v>43634</v>
      </c>
      <c r="I58" s="32" t="s">
        <v>108</v>
      </c>
    </row>
    <row r="59" spans="1:9" x14ac:dyDescent="0.25">
      <c r="A59" s="11" t="s">
        <v>96</v>
      </c>
      <c r="B59" s="11" t="s">
        <v>97</v>
      </c>
      <c r="C59" s="32" t="s">
        <v>102</v>
      </c>
      <c r="D59" s="11">
        <v>1385</v>
      </c>
      <c r="F59" s="33">
        <v>33240</v>
      </c>
      <c r="G59" s="33">
        <v>28240</v>
      </c>
      <c r="H59" s="20">
        <v>43634</v>
      </c>
      <c r="I59" s="32" t="s">
        <v>108</v>
      </c>
    </row>
    <row r="60" spans="1:9" x14ac:dyDescent="0.25">
      <c r="A60" s="11" t="s">
        <v>100</v>
      </c>
      <c r="B60" s="11" t="s">
        <v>101</v>
      </c>
      <c r="C60" s="32" t="s">
        <v>98</v>
      </c>
      <c r="D60" s="11">
        <v>380</v>
      </c>
      <c r="F60" s="33">
        <v>19000</v>
      </c>
      <c r="G60" s="33">
        <v>14000</v>
      </c>
      <c r="H60" s="20">
        <v>43634</v>
      </c>
      <c r="I60" s="32" t="s">
        <v>108</v>
      </c>
    </row>
    <row r="61" spans="1:9" x14ac:dyDescent="0.25">
      <c r="A61" s="11" t="s">
        <v>100</v>
      </c>
      <c r="B61" s="11" t="s">
        <v>97</v>
      </c>
      <c r="C61" s="32" t="s">
        <v>102</v>
      </c>
      <c r="D61" s="11">
        <v>777</v>
      </c>
      <c r="F61" s="33">
        <v>18648</v>
      </c>
      <c r="G61" s="33">
        <v>13648</v>
      </c>
      <c r="H61" s="20">
        <v>43634</v>
      </c>
      <c r="I61" s="32" t="s">
        <v>108</v>
      </c>
    </row>
    <row r="62" spans="1:9" x14ac:dyDescent="0.25">
      <c r="A62" s="11" t="s">
        <v>96</v>
      </c>
      <c r="B62" s="11" t="s">
        <v>101</v>
      </c>
      <c r="C62" s="32" t="s">
        <v>102</v>
      </c>
      <c r="D62" s="11">
        <v>1385</v>
      </c>
      <c r="F62" s="33">
        <v>33240</v>
      </c>
      <c r="G62" s="33">
        <v>28240</v>
      </c>
      <c r="H62" s="20">
        <v>43634</v>
      </c>
      <c r="I62" s="32" t="s">
        <v>108</v>
      </c>
    </row>
    <row r="63" spans="1:9" x14ac:dyDescent="0.25">
      <c r="A63" s="11" t="s">
        <v>96</v>
      </c>
      <c r="B63" s="11" t="s">
        <v>103</v>
      </c>
      <c r="C63" s="32" t="s">
        <v>104</v>
      </c>
      <c r="D63" s="11">
        <v>1114</v>
      </c>
      <c r="F63" s="33">
        <v>31192</v>
      </c>
      <c r="G63" s="33">
        <v>26192</v>
      </c>
      <c r="H63" s="20">
        <v>43634</v>
      </c>
      <c r="I63" s="32" t="s">
        <v>108</v>
      </c>
    </row>
    <row r="64" spans="1:9" x14ac:dyDescent="0.25">
      <c r="A64" s="11" t="s">
        <v>100</v>
      </c>
      <c r="B64" s="11" t="s">
        <v>103</v>
      </c>
      <c r="C64" s="32" t="s">
        <v>102</v>
      </c>
      <c r="D64" s="11">
        <v>200</v>
      </c>
      <c r="F64" s="33">
        <v>4800</v>
      </c>
      <c r="G64" s="33">
        <v>500</v>
      </c>
      <c r="H64" s="20">
        <v>43634</v>
      </c>
      <c r="I64" s="32" t="s">
        <v>108</v>
      </c>
    </row>
    <row r="65" spans="1:9" x14ac:dyDescent="0.25">
      <c r="A65" s="11" t="s">
        <v>100</v>
      </c>
      <c r="B65" s="11" t="s">
        <v>101</v>
      </c>
      <c r="C65" s="32" t="s">
        <v>98</v>
      </c>
      <c r="D65" s="11">
        <v>1132</v>
      </c>
      <c r="F65" s="33">
        <v>56600</v>
      </c>
      <c r="G65" s="33">
        <v>51600</v>
      </c>
      <c r="H65" s="20">
        <v>43527</v>
      </c>
      <c r="I65" s="32" t="s">
        <v>109</v>
      </c>
    </row>
    <row r="66" spans="1:9" x14ac:dyDescent="0.25">
      <c r="A66" s="11" t="s">
        <v>100</v>
      </c>
      <c r="B66" s="11" t="s">
        <v>103</v>
      </c>
      <c r="C66" s="32" t="s">
        <v>102</v>
      </c>
      <c r="D66" s="11">
        <v>99</v>
      </c>
      <c r="F66" s="33">
        <v>2376</v>
      </c>
      <c r="G66" s="33">
        <v>500</v>
      </c>
      <c r="H66" s="20">
        <v>43531</v>
      </c>
      <c r="I66" s="32" t="s">
        <v>109</v>
      </c>
    </row>
    <row r="67" spans="1:9" x14ac:dyDescent="0.25">
      <c r="A67" s="11" t="s">
        <v>105</v>
      </c>
      <c r="B67" s="11" t="s">
        <v>97</v>
      </c>
      <c r="C67" s="32" t="s">
        <v>104</v>
      </c>
      <c r="D67" s="11">
        <v>153</v>
      </c>
      <c r="F67" s="33">
        <v>4284</v>
      </c>
      <c r="G67" s="33">
        <v>500</v>
      </c>
      <c r="H67" s="20">
        <v>43535</v>
      </c>
      <c r="I67" s="32" t="s">
        <v>109</v>
      </c>
    </row>
    <row r="68" spans="1:9" x14ac:dyDescent="0.25">
      <c r="A68" s="11" t="s">
        <v>100</v>
      </c>
      <c r="B68" s="11" t="s">
        <v>101</v>
      </c>
      <c r="C68" s="32" t="s">
        <v>81</v>
      </c>
      <c r="D68" s="11">
        <v>640</v>
      </c>
      <c r="F68" s="33">
        <v>22400</v>
      </c>
      <c r="G68" s="33">
        <v>17400</v>
      </c>
      <c r="H68" s="20">
        <v>43539</v>
      </c>
      <c r="I68" s="32" t="s">
        <v>109</v>
      </c>
    </row>
    <row r="69" spans="1:9" x14ac:dyDescent="0.25">
      <c r="A69" s="11" t="s">
        <v>100</v>
      </c>
      <c r="B69" s="11" t="s">
        <v>103</v>
      </c>
      <c r="C69" s="32" t="s">
        <v>98</v>
      </c>
      <c r="D69" s="11">
        <v>665</v>
      </c>
      <c r="F69" s="33">
        <v>33250</v>
      </c>
      <c r="G69" s="33">
        <v>28250</v>
      </c>
      <c r="H69" s="20">
        <v>43543</v>
      </c>
      <c r="I69" s="32" t="s">
        <v>109</v>
      </c>
    </row>
    <row r="70" spans="1:9" x14ac:dyDescent="0.25">
      <c r="A70" s="11" t="s">
        <v>96</v>
      </c>
      <c r="B70" s="11" t="s">
        <v>97</v>
      </c>
      <c r="C70" s="32" t="s">
        <v>98</v>
      </c>
      <c r="D70" s="11">
        <v>696</v>
      </c>
      <c r="F70" s="33">
        <v>34800</v>
      </c>
      <c r="G70" s="33">
        <v>29800</v>
      </c>
      <c r="H70" s="20">
        <v>43551</v>
      </c>
      <c r="I70" s="32" t="s">
        <v>109</v>
      </c>
    </row>
    <row r="71" spans="1:9" x14ac:dyDescent="0.25">
      <c r="A71" s="11" t="s">
        <v>100</v>
      </c>
      <c r="B71" s="11" t="s">
        <v>97</v>
      </c>
      <c r="C71" s="32" t="s">
        <v>104</v>
      </c>
      <c r="D71" s="11">
        <v>388</v>
      </c>
      <c r="F71" s="33">
        <v>10864</v>
      </c>
      <c r="G71" s="33">
        <v>5864</v>
      </c>
      <c r="H71" s="20">
        <v>43527</v>
      </c>
      <c r="I71" s="32" t="s">
        <v>109</v>
      </c>
    </row>
    <row r="72" spans="1:9" x14ac:dyDescent="0.25">
      <c r="A72" s="11" t="s">
        <v>100</v>
      </c>
      <c r="B72" s="11" t="s">
        <v>101</v>
      </c>
      <c r="C72" s="32" t="s">
        <v>81</v>
      </c>
      <c r="D72" s="11">
        <v>394</v>
      </c>
      <c r="F72" s="33">
        <v>13790</v>
      </c>
      <c r="G72" s="33">
        <v>8790</v>
      </c>
      <c r="H72" s="20">
        <v>43531</v>
      </c>
      <c r="I72" s="32" t="s">
        <v>109</v>
      </c>
    </row>
    <row r="73" spans="1:9" x14ac:dyDescent="0.25">
      <c r="A73" s="11" t="s">
        <v>100</v>
      </c>
      <c r="B73" s="11" t="s">
        <v>103</v>
      </c>
      <c r="C73" s="32" t="s">
        <v>98</v>
      </c>
      <c r="D73" s="11">
        <v>332</v>
      </c>
      <c r="F73" s="33">
        <v>16600</v>
      </c>
      <c r="G73" s="33">
        <v>11600</v>
      </c>
      <c r="H73" s="20">
        <v>43535</v>
      </c>
      <c r="I73" s="32" t="s">
        <v>109</v>
      </c>
    </row>
    <row r="74" spans="1:9" x14ac:dyDescent="0.25">
      <c r="A74" s="11" t="s">
        <v>105</v>
      </c>
      <c r="B74" s="11" t="s">
        <v>97</v>
      </c>
      <c r="C74" s="32" t="s">
        <v>102</v>
      </c>
      <c r="D74" s="11">
        <v>46</v>
      </c>
      <c r="F74" s="33">
        <v>1104</v>
      </c>
      <c r="G74" s="33">
        <v>500</v>
      </c>
      <c r="H74" s="20">
        <v>43539</v>
      </c>
      <c r="I74" s="32" t="s">
        <v>109</v>
      </c>
    </row>
    <row r="75" spans="1:9" x14ac:dyDescent="0.25">
      <c r="A75" s="11" t="s">
        <v>96</v>
      </c>
      <c r="B75" s="11" t="s">
        <v>101</v>
      </c>
      <c r="C75" s="32" t="s">
        <v>104</v>
      </c>
      <c r="D75" s="11">
        <v>366</v>
      </c>
      <c r="F75" s="33">
        <v>10248</v>
      </c>
      <c r="G75" s="33">
        <v>5248</v>
      </c>
      <c r="H75" s="20">
        <v>43543</v>
      </c>
      <c r="I75" s="32" t="s">
        <v>109</v>
      </c>
    </row>
    <row r="76" spans="1:9" x14ac:dyDescent="0.25">
      <c r="A76" s="11" t="s">
        <v>96</v>
      </c>
      <c r="B76" s="11" t="s">
        <v>103</v>
      </c>
      <c r="C76" s="32" t="s">
        <v>81</v>
      </c>
      <c r="D76" s="11">
        <v>388</v>
      </c>
      <c r="F76" s="33">
        <v>13580</v>
      </c>
      <c r="G76" s="33">
        <v>8580</v>
      </c>
      <c r="H76" s="20">
        <v>43547</v>
      </c>
      <c r="I76" s="32" t="s">
        <v>109</v>
      </c>
    </row>
    <row r="77" spans="1:9" x14ac:dyDescent="0.25">
      <c r="A77" s="11" t="s">
        <v>100</v>
      </c>
      <c r="B77" s="11" t="s">
        <v>97</v>
      </c>
      <c r="C77" s="32" t="s">
        <v>98</v>
      </c>
      <c r="D77" s="11">
        <v>51</v>
      </c>
      <c r="F77" s="33">
        <v>2550</v>
      </c>
      <c r="G77" s="33">
        <v>500</v>
      </c>
      <c r="H77" s="20">
        <v>43551</v>
      </c>
      <c r="I77" s="32" t="s">
        <v>109</v>
      </c>
    </row>
    <row r="78" spans="1:9" x14ac:dyDescent="0.25">
      <c r="A78" s="11" t="s">
        <v>100</v>
      </c>
      <c r="B78" s="11" t="s">
        <v>101</v>
      </c>
      <c r="C78" s="32" t="s">
        <v>102</v>
      </c>
      <c r="D78" s="11">
        <v>365</v>
      </c>
      <c r="F78" s="33">
        <v>8760</v>
      </c>
      <c r="G78" s="33">
        <v>3760</v>
      </c>
      <c r="H78" s="20">
        <v>43555</v>
      </c>
      <c r="I78" s="32" t="s">
        <v>109</v>
      </c>
    </row>
    <row r="79" spans="1:9" x14ac:dyDescent="0.25">
      <c r="A79" s="11" t="s">
        <v>100</v>
      </c>
      <c r="B79" s="11" t="s">
        <v>103</v>
      </c>
      <c r="C79" s="32" t="s">
        <v>104</v>
      </c>
      <c r="D79" s="11">
        <v>267</v>
      </c>
      <c r="F79" s="33">
        <v>7476</v>
      </c>
      <c r="G79" s="33">
        <v>2476</v>
      </c>
      <c r="H79" s="20">
        <v>43551</v>
      </c>
      <c r="I79" s="32" t="s">
        <v>109</v>
      </c>
    </row>
    <row r="80" spans="1:9" x14ac:dyDescent="0.25">
      <c r="A80" s="11" t="s">
        <v>96</v>
      </c>
      <c r="B80" s="11" t="s">
        <v>103</v>
      </c>
      <c r="C80" s="32" t="s">
        <v>102</v>
      </c>
      <c r="D80" s="11">
        <v>361</v>
      </c>
      <c r="F80" s="33">
        <v>8664</v>
      </c>
      <c r="G80" s="33">
        <v>3664</v>
      </c>
      <c r="H80" s="20">
        <v>43533</v>
      </c>
      <c r="I80" s="32" t="s">
        <v>109</v>
      </c>
    </row>
    <row r="81" spans="1:9" x14ac:dyDescent="0.25">
      <c r="A81" s="11" t="s">
        <v>96</v>
      </c>
      <c r="B81" s="11" t="s">
        <v>101</v>
      </c>
      <c r="C81" s="32" t="s">
        <v>98</v>
      </c>
      <c r="D81" s="11">
        <v>696</v>
      </c>
      <c r="F81" s="33">
        <v>34800</v>
      </c>
      <c r="G81" s="33">
        <v>29800</v>
      </c>
      <c r="H81" s="20">
        <v>43551</v>
      </c>
      <c r="I81" s="32" t="s">
        <v>109</v>
      </c>
    </row>
    <row r="82" spans="1:9" x14ac:dyDescent="0.25">
      <c r="A82" s="11" t="s">
        <v>105</v>
      </c>
      <c r="B82" s="11" t="s">
        <v>101</v>
      </c>
      <c r="C82" s="32" t="s">
        <v>81</v>
      </c>
      <c r="D82" s="11">
        <v>187</v>
      </c>
      <c r="F82" s="33">
        <v>6545</v>
      </c>
      <c r="G82" s="33">
        <v>1545</v>
      </c>
      <c r="H82" s="20">
        <v>43587</v>
      </c>
      <c r="I82" s="32" t="s">
        <v>110</v>
      </c>
    </row>
    <row r="83" spans="1:9" x14ac:dyDescent="0.25">
      <c r="A83" s="11" t="s">
        <v>96</v>
      </c>
      <c r="B83" s="11" t="s">
        <v>103</v>
      </c>
      <c r="C83" s="32" t="s">
        <v>98</v>
      </c>
      <c r="D83" s="11">
        <v>1057</v>
      </c>
      <c r="F83" s="33">
        <v>52850</v>
      </c>
      <c r="G83" s="33">
        <v>47850</v>
      </c>
      <c r="H83" s="20">
        <v>43591</v>
      </c>
      <c r="I83" s="32" t="s">
        <v>110</v>
      </c>
    </row>
    <row r="84" spans="1:9" x14ac:dyDescent="0.25">
      <c r="A84" s="11" t="s">
        <v>96</v>
      </c>
      <c r="B84" s="11" t="s">
        <v>97</v>
      </c>
      <c r="C84" s="32" t="s">
        <v>102</v>
      </c>
      <c r="D84" s="11">
        <v>94</v>
      </c>
      <c r="F84" s="33">
        <v>2256</v>
      </c>
      <c r="G84" s="33">
        <v>500</v>
      </c>
      <c r="H84" s="20">
        <v>43595</v>
      </c>
      <c r="I84" s="32" t="s">
        <v>110</v>
      </c>
    </row>
    <row r="85" spans="1:9" x14ac:dyDescent="0.25">
      <c r="A85" s="11" t="s">
        <v>100</v>
      </c>
      <c r="B85" s="11" t="s">
        <v>101</v>
      </c>
      <c r="C85" s="32" t="s">
        <v>104</v>
      </c>
      <c r="D85" s="11">
        <v>127</v>
      </c>
      <c r="F85" s="33">
        <v>3556</v>
      </c>
      <c r="G85" s="33">
        <v>500</v>
      </c>
      <c r="H85" s="20">
        <v>43599</v>
      </c>
      <c r="I85" s="32" t="s">
        <v>110</v>
      </c>
    </row>
    <row r="86" spans="1:9" x14ac:dyDescent="0.25">
      <c r="A86" s="11" t="s">
        <v>100</v>
      </c>
      <c r="B86" s="11" t="s">
        <v>103</v>
      </c>
      <c r="C86" s="32" t="s">
        <v>81</v>
      </c>
      <c r="D86" s="11">
        <v>998</v>
      </c>
      <c r="F86" s="33">
        <v>34930</v>
      </c>
      <c r="G86" s="33">
        <v>29930</v>
      </c>
      <c r="H86" s="20">
        <v>43603</v>
      </c>
      <c r="I86" s="32" t="s">
        <v>110</v>
      </c>
    </row>
    <row r="87" spans="1:9" x14ac:dyDescent="0.25">
      <c r="A87" s="11" t="s">
        <v>105</v>
      </c>
      <c r="B87" s="11" t="s">
        <v>97</v>
      </c>
      <c r="C87" s="32" t="s">
        <v>98</v>
      </c>
      <c r="D87" s="11">
        <v>293</v>
      </c>
      <c r="F87" s="33">
        <v>14650</v>
      </c>
      <c r="G87" s="33">
        <v>9650</v>
      </c>
      <c r="H87" s="20">
        <v>43607</v>
      </c>
      <c r="I87" s="32" t="s">
        <v>110</v>
      </c>
    </row>
    <row r="88" spans="1:9" x14ac:dyDescent="0.25">
      <c r="A88" s="11" t="s">
        <v>100</v>
      </c>
      <c r="B88" s="11" t="s">
        <v>101</v>
      </c>
      <c r="C88" s="32" t="s">
        <v>102</v>
      </c>
      <c r="D88" s="11">
        <v>504</v>
      </c>
      <c r="F88" s="33">
        <v>12096</v>
      </c>
      <c r="G88" s="33">
        <v>7096</v>
      </c>
      <c r="H88" s="20">
        <v>43611</v>
      </c>
      <c r="I88" s="32" t="s">
        <v>110</v>
      </c>
    </row>
    <row r="89" spans="1:9" x14ac:dyDescent="0.25">
      <c r="A89" s="11" t="s">
        <v>96</v>
      </c>
      <c r="B89" s="11" t="s">
        <v>101</v>
      </c>
      <c r="C89" s="32" t="s">
        <v>104</v>
      </c>
      <c r="D89" s="11">
        <v>1114</v>
      </c>
      <c r="F89" s="33">
        <v>31192</v>
      </c>
      <c r="G89" s="33">
        <v>26192</v>
      </c>
      <c r="H89" s="20">
        <v>43604</v>
      </c>
      <c r="I89" s="32" t="s">
        <v>110</v>
      </c>
    </row>
    <row r="90" spans="1:9" x14ac:dyDescent="0.25">
      <c r="A90" s="11" t="s">
        <v>100</v>
      </c>
      <c r="B90" s="11" t="s">
        <v>97</v>
      </c>
      <c r="C90" s="32" t="s">
        <v>102</v>
      </c>
      <c r="D90" s="11">
        <v>288</v>
      </c>
      <c r="F90" s="33">
        <v>6912</v>
      </c>
      <c r="G90" s="33">
        <v>1912</v>
      </c>
      <c r="H90" s="20">
        <v>43587</v>
      </c>
      <c r="I90" s="32" t="s">
        <v>110</v>
      </c>
    </row>
    <row r="91" spans="1:9" x14ac:dyDescent="0.25">
      <c r="A91" s="11" t="s">
        <v>100</v>
      </c>
      <c r="B91" s="11" t="s">
        <v>101</v>
      </c>
      <c r="C91" s="32" t="s">
        <v>104</v>
      </c>
      <c r="D91" s="11">
        <v>80</v>
      </c>
      <c r="F91" s="33">
        <v>2240</v>
      </c>
      <c r="G91" s="33">
        <v>500</v>
      </c>
      <c r="H91" s="20">
        <v>43591</v>
      </c>
      <c r="I91" s="32" t="s">
        <v>110</v>
      </c>
    </row>
    <row r="92" spans="1:9" x14ac:dyDescent="0.25">
      <c r="A92" s="11" t="s">
        <v>105</v>
      </c>
      <c r="B92" s="11" t="s">
        <v>103</v>
      </c>
      <c r="C92" s="32" t="s">
        <v>81</v>
      </c>
      <c r="D92" s="11">
        <v>295</v>
      </c>
      <c r="F92" s="33">
        <v>10325</v>
      </c>
      <c r="G92" s="33">
        <v>5325</v>
      </c>
      <c r="H92" s="20">
        <v>43595</v>
      </c>
      <c r="I92" s="32" t="s">
        <v>110</v>
      </c>
    </row>
    <row r="93" spans="1:9" x14ac:dyDescent="0.25">
      <c r="A93" s="11" t="s">
        <v>100</v>
      </c>
      <c r="B93" s="11" t="s">
        <v>97</v>
      </c>
      <c r="C93" s="32" t="s">
        <v>98</v>
      </c>
      <c r="D93" s="11">
        <v>80</v>
      </c>
      <c r="F93" s="33">
        <v>4000</v>
      </c>
      <c r="G93" s="33">
        <v>500</v>
      </c>
      <c r="H93" s="20">
        <v>43599</v>
      </c>
      <c r="I93" s="32" t="s">
        <v>110</v>
      </c>
    </row>
    <row r="94" spans="1:9" x14ac:dyDescent="0.25">
      <c r="A94" s="11" t="s">
        <v>100</v>
      </c>
      <c r="B94" s="11" t="s">
        <v>101</v>
      </c>
      <c r="C94" s="32" t="s">
        <v>102</v>
      </c>
      <c r="D94" s="11">
        <v>234</v>
      </c>
      <c r="F94" s="33">
        <v>5616</v>
      </c>
      <c r="G94" s="33">
        <v>616</v>
      </c>
      <c r="H94" s="20">
        <v>43603</v>
      </c>
      <c r="I94" s="32" t="s">
        <v>110</v>
      </c>
    </row>
    <row r="95" spans="1:9" x14ac:dyDescent="0.25">
      <c r="A95" s="11" t="s">
        <v>100</v>
      </c>
      <c r="B95" s="11" t="s">
        <v>103</v>
      </c>
      <c r="C95" s="32" t="s">
        <v>104</v>
      </c>
      <c r="D95" s="11">
        <v>279</v>
      </c>
      <c r="F95" s="33">
        <v>7812</v>
      </c>
      <c r="G95" s="33">
        <v>2812</v>
      </c>
      <c r="H95" s="20">
        <v>43607</v>
      </c>
      <c r="I95" s="32" t="s">
        <v>110</v>
      </c>
    </row>
    <row r="96" spans="1:9" x14ac:dyDescent="0.25">
      <c r="A96" s="11" t="s">
        <v>96</v>
      </c>
      <c r="B96" s="11" t="s">
        <v>101</v>
      </c>
      <c r="C96" s="32" t="s">
        <v>98</v>
      </c>
      <c r="D96" s="11">
        <v>201</v>
      </c>
      <c r="F96" s="33">
        <v>10050</v>
      </c>
      <c r="G96" s="33">
        <v>5050</v>
      </c>
      <c r="H96" s="20">
        <v>43615</v>
      </c>
      <c r="I96" s="32" t="s">
        <v>110</v>
      </c>
    </row>
    <row r="97" spans="1:9" x14ac:dyDescent="0.25">
      <c r="A97" s="11" t="s">
        <v>100</v>
      </c>
      <c r="B97" s="11" t="s">
        <v>101</v>
      </c>
      <c r="C97" s="32" t="s">
        <v>102</v>
      </c>
      <c r="D97" s="11">
        <v>381</v>
      </c>
      <c r="F97" s="33">
        <v>9144</v>
      </c>
      <c r="G97" s="33">
        <v>4144</v>
      </c>
      <c r="H97" s="20">
        <v>43608</v>
      </c>
      <c r="I97" s="32" t="s">
        <v>110</v>
      </c>
    </row>
    <row r="98" spans="1:9" x14ac:dyDescent="0.25">
      <c r="A98" s="11" t="s">
        <v>96</v>
      </c>
      <c r="B98" s="11" t="s">
        <v>101</v>
      </c>
      <c r="C98" s="32" t="s">
        <v>102</v>
      </c>
      <c r="D98" s="11">
        <v>234</v>
      </c>
      <c r="F98" s="33">
        <v>5616</v>
      </c>
      <c r="G98" s="33">
        <v>616</v>
      </c>
      <c r="H98" s="20">
        <v>43588</v>
      </c>
      <c r="I98" s="32" t="s">
        <v>110</v>
      </c>
    </row>
  </sheetData>
  <sheetProtection selectLockedCells="1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Instrucciones</vt:lpstr>
      <vt:lpstr>Menu</vt:lpstr>
      <vt:lpstr>15 de noviembre</vt:lpstr>
      <vt:lpstr>Ejercicio1</vt:lpstr>
      <vt:lpstr>Ejercicio 2</vt:lpstr>
      <vt:lpstr>Ejercicio 3A</vt:lpstr>
      <vt:lpstr>Ejercicio 3B</vt:lpstr>
      <vt:lpstr>Ejercicio 3C</vt:lpstr>
      <vt:lpstr>Ejercicio 4</vt:lpstr>
      <vt:lpstr>Ejercicio 5</vt:lpstr>
      <vt:lpstr>'Ejercicio 3B'!Criterios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la peña Oshea</dc:creator>
  <cp:lastModifiedBy>FP</cp:lastModifiedBy>
  <dcterms:created xsi:type="dcterms:W3CDTF">2019-12-10T08:00:06Z</dcterms:created>
  <dcterms:modified xsi:type="dcterms:W3CDTF">2024-11-19T13:19:28Z</dcterms:modified>
</cp:coreProperties>
</file>